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10\Desktop\새 폴더\커서\백테스트_보고서\"/>
    </mc:Choice>
  </mc:AlternateContent>
  <xr:revisionPtr revIDLastSave="0" documentId="13_ncr:1_{CE0E2F1F-7EDE-47CB-8C59-F1B3530576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J199" i="1" l="1"/>
  <c r="I199" i="1"/>
</calcChain>
</file>

<file path=xl/sharedStrings.xml><?xml version="1.0" encoding="utf-8"?>
<sst xmlns="http://schemas.openxmlformats.org/spreadsheetml/2006/main" count="692" uniqueCount="211">
  <si>
    <t>전략테스트 보고서</t>
  </si>
  <si>
    <t>Exness-MT5Real31 (Build 5327)</t>
  </si>
  <si>
    <t>설정</t>
  </si>
  <si>
    <t>시스템 트레이딩:</t>
  </si>
  <si>
    <t>UT_Bot_EA_Production</t>
  </si>
  <si>
    <t>통화:</t>
  </si>
  <si>
    <t>XAUUSDm</t>
  </si>
  <si>
    <t>주기:</t>
  </si>
  <si>
    <t>H2 (2025.01.01 - 2025.09.30)</t>
  </si>
  <si>
    <t>속성창 입력:</t>
  </si>
  <si>
    <t>=</t>
  </si>
  <si>
    <t>KeyValue=2.0</t>
  </si>
  <si>
    <t>ATRPeriod=20</t>
  </si>
  <si>
    <t>UseHeikinAshi=true</t>
  </si>
  <si>
    <t>UseFixedLotSize=true</t>
  </si>
  <si>
    <t>FixedLotSize=0.01</t>
  </si>
  <si>
    <t>LotSize=0.01</t>
  </si>
  <si>
    <t>MagicNumber=123456</t>
  </si>
  <si>
    <t>Slippage=3</t>
  </si>
  <si>
    <t>AllowMultiplePositions=false</t>
  </si>
  <si>
    <t>UseReversePosition=true</t>
  </si>
  <si>
    <t>UseDynamicStopLoss=true</t>
  </si>
  <si>
    <t>UseFixedStopLoss=false</t>
  </si>
  <si>
    <t>FixedStopLossPoints=50.0</t>
  </si>
  <si>
    <t>UseTakeProfit=true</t>
  </si>
  <si>
    <t>RiskPercent=5</t>
  </si>
  <si>
    <t>MaxSpread=200</t>
  </si>
  <si>
    <t>EnableSpreadFilter=true</t>
  </si>
  <si>
    <t>UseStopLoss=false</t>
  </si>
  <si>
    <t>EnableSidewaysProtection=true</t>
  </si>
  <si>
    <t>MinBarsBetweenTrades=5</t>
  </si>
  <si>
    <t>MaxDailyLossPercent=5.0</t>
  </si>
  <si>
    <t>MaxTradesPerDay=10</t>
  </si>
  <si>
    <t>UseVolatilityFilter=true</t>
  </si>
  <si>
    <t>MinVolatilityATR=0.5</t>
  </si>
  <si>
    <t>UseTrendFilter=true</t>
  </si>
  <si>
    <t>TrendPeriod=20</t>
  </si>
  <si>
    <t>MaxSidewaysRange=0.002</t>
  </si>
  <si>
    <t>UseBreakoutConfirmation=true</t>
  </si>
  <si>
    <t>BreakoutBars=3</t>
  </si>
  <si>
    <t>UseTimeFilter=false</t>
  </si>
  <si>
    <t>StartHour=0</t>
  </si>
  <si>
    <t>EndHour=24</t>
  </si>
  <si>
    <t>TradeMonday=true</t>
  </si>
  <si>
    <t>TradeTuesday=true</t>
  </si>
  <si>
    <t>TradeWednesday=true</t>
  </si>
  <si>
    <t>TradeThursday=true</t>
  </si>
  <si>
    <t>TradeFriday=true</t>
  </si>
  <si>
    <t>ShowTrailingStop=true</t>
  </si>
  <si>
    <t>TrailingStopColor=16711680</t>
  </si>
  <si>
    <t>TrailingStopWidth=2</t>
  </si>
  <si>
    <t>ShowSignals=true</t>
  </si>
  <si>
    <t>BuySignalColor=65280</t>
  </si>
  <si>
    <t>SellSignalColor=255</t>
  </si>
  <si>
    <t>SignalArrowCode=233</t>
  </si>
  <si>
    <t>ShowInfoPanel=true</t>
  </si>
  <si>
    <t>InfoPanelX=20</t>
  </si>
  <si>
    <t>InfoPanelY=30</t>
  </si>
  <si>
    <t>InfoPanelColor=16777215</t>
  </si>
  <si>
    <t>InfoPanelFontSize=10</t>
  </si>
  <si>
    <t>회사:</t>
  </si>
  <si>
    <t>Exness Technologies Ltd</t>
  </si>
  <si>
    <t>핍 수익</t>
  </si>
  <si>
    <t>입금액:</t>
  </si>
  <si>
    <t>레버리지:</t>
  </si>
  <si>
    <t>1:200</t>
  </si>
  <si>
    <t>결과</t>
  </si>
  <si>
    <t>히스토리 품질:</t>
  </si>
  <si>
    <t>99%</t>
  </si>
  <si>
    <t>봉수:</t>
  </si>
  <si>
    <t>틱:</t>
  </si>
  <si>
    <t>총수입:</t>
  </si>
  <si>
    <t>Balance Drawdown Absolute:</t>
  </si>
  <si>
    <t>Equity Drawdown Absolute:</t>
  </si>
  <si>
    <t>누적 수익:</t>
  </si>
  <si>
    <t>Balance Drawdown Maximal:</t>
  </si>
  <si>
    <t>2 644.04 (100.67%)</t>
  </si>
  <si>
    <t>Equity Drawdown Maximal:</t>
  </si>
  <si>
    <t>2 955.25 (100.60%)</t>
  </si>
  <si>
    <t>누적 손실:</t>
  </si>
  <si>
    <t>Balance Drawdown Relative:</t>
  </si>
  <si>
    <t>100.67% (2 644.04)</t>
  </si>
  <si>
    <t>Equity Drawdown Relative:</t>
  </si>
  <si>
    <t>100.60% (2 955.25)</t>
  </si>
  <si>
    <t>Profit Factor:</t>
  </si>
  <si>
    <t>예상 비용:</t>
  </si>
  <si>
    <t>마진 레벨:</t>
  </si>
  <si>
    <t>104200.00%</t>
  </si>
  <si>
    <t>Recovery Factor:</t>
  </si>
  <si>
    <t>Sharpe Ratio:</t>
  </si>
  <si>
    <t>Z-Score:</t>
  </si>
  <si>
    <t>2.25 (97.56%)</t>
  </si>
  <si>
    <t>AHPR:</t>
  </si>
  <si>
    <t>1.0170 (1.70%)</t>
  </si>
  <si>
    <t>LR Correlation:</t>
  </si>
  <si>
    <t>OnTester 결과:</t>
  </si>
  <si>
    <t>0</t>
  </si>
  <si>
    <t>GHPR:</t>
  </si>
  <si>
    <t>0.7197 (-28.03%)</t>
  </si>
  <si>
    <t>LR Standard Error:</t>
  </si>
  <si>
    <t>Correlation (Profits,MFE):</t>
  </si>
  <si>
    <t>Correlation (Profits,MAE):</t>
  </si>
  <si>
    <t>Correlation (MFE,MAE):</t>
  </si>
  <si>
    <t>최소 포지션 홀딩시간:</t>
  </si>
  <si>
    <t>8:08:27</t>
  </si>
  <si>
    <t>최대 포지션 홀딩시간:</t>
  </si>
  <si>
    <t>165:03:52</t>
  </si>
  <si>
    <t>평균 포지션 홀딩시간:</t>
  </si>
  <si>
    <t>54:38:45</t>
  </si>
  <si>
    <t>총 거래횟수:</t>
  </si>
  <si>
    <t>매도거래수 (won %):</t>
  </si>
  <si>
    <t>11 (27.27%)</t>
  </si>
  <si>
    <t>매수거래수 (won %):</t>
  </si>
  <si>
    <t>10 (80.00%)</t>
  </si>
  <si>
    <t>수익거래수 (% of total):</t>
  </si>
  <si>
    <t>11 (52.38%)</t>
  </si>
  <si>
    <t>손실거래수 (% of total):</t>
  </si>
  <si>
    <t>10 (47.62%)</t>
  </si>
  <si>
    <t>최대 수익 거래:</t>
  </si>
  <si>
    <t>최대 손해 거래:</t>
  </si>
  <si>
    <t>평균 수익 거래:</t>
  </si>
  <si>
    <t>평균 손해 거래:</t>
  </si>
  <si>
    <t>최대 연속 수익 ($):</t>
  </si>
  <si>
    <t>3 (680.56)</t>
  </si>
  <si>
    <t>최대 연속 손해 ($):</t>
  </si>
  <si>
    <t>2 (-382.15)</t>
  </si>
  <si>
    <t>최대 연속 수익 (개수):</t>
  </si>
  <si>
    <t>875.22 (2)</t>
  </si>
  <si>
    <t>최대 연속 손해 (개수):</t>
  </si>
  <si>
    <t>-2 644.04 (1)</t>
  </si>
  <si>
    <t>평균 연속 수익:</t>
  </si>
  <si>
    <t>평균 연속 손해:</t>
  </si>
  <si>
    <t>주문</t>
  </si>
  <si>
    <t>진입 시간</t>
  </si>
  <si>
    <t>통화</t>
  </si>
  <si>
    <t>종류</t>
  </si>
  <si>
    <t>거래량</t>
  </si>
  <si>
    <t>가격</t>
  </si>
  <si>
    <t>S / L</t>
  </si>
  <si>
    <t>T / P</t>
  </si>
  <si>
    <t>시간</t>
  </si>
  <si>
    <t>주</t>
  </si>
  <si>
    <t>비고</t>
  </si>
  <si>
    <t>2025.01.02 00:00:08</t>
  </si>
  <si>
    <t>buy</t>
  </si>
  <si>
    <t>0.01 / 0.01</t>
  </si>
  <si>
    <t>filled</t>
  </si>
  <si>
    <t>UT Bot Buy</t>
  </si>
  <si>
    <t>2025.01.02 14:47:42</t>
  </si>
  <si>
    <t>sell</t>
  </si>
  <si>
    <t>tp 2651.048</t>
  </si>
  <si>
    <t>2025.01.03 15:04:05</t>
  </si>
  <si>
    <t>UT Bot Sell</t>
  </si>
  <si>
    <t>2025.01.07 05:22:30</t>
  </si>
  <si>
    <t>2025.01.07 05:22:44</t>
  </si>
  <si>
    <t>2025.01.10 14:02:42</t>
  </si>
  <si>
    <t>tp 2685.178</t>
  </si>
  <si>
    <t>2025.01.13 11:40:41</t>
  </si>
  <si>
    <t>2025.01.14 23:01:01</t>
  </si>
  <si>
    <t>2025.01.14 23:01:08</t>
  </si>
  <si>
    <t>2025.01.15 16:13:40</t>
  </si>
  <si>
    <t>2025.01.15 16:13:47</t>
  </si>
  <si>
    <t>2025.01.16 02:00:07</t>
  </si>
  <si>
    <t>2025.01.16 02:00:15</t>
  </si>
  <si>
    <t>2025.01.21 03:24:14</t>
  </si>
  <si>
    <t>tp 2726.816</t>
  </si>
  <si>
    <t>2025.01.23 14:00:02</t>
  </si>
  <si>
    <t>2025.02.03 11:03:54</t>
  </si>
  <si>
    <t>2025.02.03 11:04:06</t>
  </si>
  <si>
    <t>2025.02.05 00:34:29</t>
  </si>
  <si>
    <t>tp 2846.954</t>
  </si>
  <si>
    <t>2025.02.06 08:01:07</t>
  </si>
  <si>
    <t>2025.02.07 16:00:07</t>
  </si>
  <si>
    <t>2025.02.07 16:00:12</t>
  </si>
  <si>
    <t>2025.02.11 00:54:37</t>
  </si>
  <si>
    <t>tp 2924.404</t>
  </si>
  <si>
    <t>2025.02.14 14:01:40</t>
  </si>
  <si>
    <t>2025.02.20 04:00:04</t>
  </si>
  <si>
    <t>2025.02.20 04:00:12</t>
  </si>
  <si>
    <t>2025.02.25 08:00:02</t>
  </si>
  <si>
    <t>2025.02.25 08:00:04</t>
  </si>
  <si>
    <t>2025.02.25 16:08:31</t>
  </si>
  <si>
    <t>tp 2892.381</t>
  </si>
  <si>
    <t>2025.03.05 14:00:16</t>
  </si>
  <si>
    <t>2025.03.06 02:00:15</t>
  </si>
  <si>
    <t>2025.03.06 02:00:22</t>
  </si>
  <si>
    <t>2025.03.13 14:50:42</t>
  </si>
  <si>
    <t>tp 2970.984</t>
  </si>
  <si>
    <t>2025.03.23 22:05:02</t>
  </si>
  <si>
    <t>2025.03.24 18:00:06</t>
  </si>
  <si>
    <t>2025.03.25 14:00:02</t>
  </si>
  <si>
    <t>2025.03.25 14:00:09</t>
  </si>
  <si>
    <t>2025.03.28 01:04:44</t>
  </si>
  <si>
    <t>tp 3063.778</t>
  </si>
  <si>
    <t>2025.04.01 16:00:06</t>
  </si>
  <si>
    <t>2025.04.03 12:40:43</t>
  </si>
  <si>
    <t>tp 3062.083</t>
  </si>
  <si>
    <t>2025.04.07 16:00:03</t>
  </si>
  <si>
    <t>2025.04.16 00:00:00</t>
  </si>
  <si>
    <t>so -175400.00%</t>
  </si>
  <si>
    <t>거래</t>
  </si>
  <si>
    <t>방향</t>
  </si>
  <si>
    <t>커미션</t>
  </si>
  <si>
    <t>스왑</t>
  </si>
  <si>
    <t>수익</t>
  </si>
  <si>
    <t>잔액</t>
  </si>
  <si>
    <t>2025.01.01 00:00:00</t>
  </si>
  <si>
    <t>balance</t>
  </si>
  <si>
    <t>in</t>
  </si>
  <si>
    <t>0.01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</si>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</sst>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\ ##0.00;\-#\ ##0.00;0.00;"/>
    <numFmt numFmtId="177" formatCode="#\ ##0;\-#\ ##0;0;"/>
    <numFmt numFmtId="178" formatCode="###0;\-###0;0;"/>
    <numFmt numFmtId="179" formatCode="#\ ##0.000;\-#\ ##0.000;0.000;"/>
  </numFmts>
  <fonts count="6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78" fontId="3" fillId="4" borderId="0" xfId="0" applyNumberFormat="1" applyFont="1" applyFill="1" applyAlignment="1">
      <alignment horizontal="right" vertical="center"/>
    </xf>
    <xf numFmtId="179" fontId="3" fillId="4" borderId="0" xfId="0" applyNumberFormat="1" applyFont="1" applyFill="1" applyAlignment="1">
      <alignment horizontal="right" vertical="center"/>
    </xf>
    <xf numFmtId="178" fontId="3" fillId="2" borderId="0" xfId="0" applyNumberFormat="1" applyFont="1" applyFill="1" applyAlignment="1">
      <alignment horizontal="right" vertical="center"/>
    </xf>
    <xf numFmtId="179" fontId="3" fillId="2" borderId="0" xfId="0" applyNumberFormat="1" applyFont="1" applyFill="1" applyAlignment="1">
      <alignment horizontal="right" vertical="center"/>
    </xf>
    <xf numFmtId="176" fontId="3" fillId="4" borderId="0" xfId="0" applyNumberFormat="1" applyFont="1" applyFill="1" applyAlignment="1">
      <alignment horizontal="right" vertical="center"/>
    </xf>
    <xf numFmtId="176" fontId="3" fillId="2" borderId="0" xfId="0" applyNumberFormat="1" applyFont="1" applyFill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76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177" fontId="4" fillId="2" borderId="0" xfId="0" applyNumberFormat="1" applyFont="1" applyFill="1" applyAlignment="1">
      <alignment horizontal="right" vertical="center"/>
    </xf>
    <xf numFmtId="176" fontId="4" fillId="2" borderId="0" xfId="0" applyNumberFormat="1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right" vertical="center"/>
    </xf>
    <xf numFmtId="176" fontId="3" fillId="5" borderId="0" xfId="0" applyNumberFormat="1" applyFont="1" applyFill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ko-KR" altLang="en-US"/>
              <a:t>잔고 그래프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잔액</c:v>
          </c:tx>
          <c:marker>
            <c:symbol val="none"/>
          </c:marker>
          <c:cat>
            <c:strRef>
              <c:f>Sheet1!$A$156:$A$198</c:f>
              <c:strCache>
                <c:ptCount val="43"/>
                <c:pt idx="0">
                  <c:v>2025.01.01 00:00:00</c:v>
                </c:pt>
                <c:pt idx="1">
                  <c:v>2025.01.02 00:00:08</c:v>
                </c:pt>
                <c:pt idx="2">
                  <c:v>2025.01.02 14:47:42</c:v>
                </c:pt>
                <c:pt idx="3">
                  <c:v>2025.01.03 15:04:05</c:v>
                </c:pt>
                <c:pt idx="4">
                  <c:v>2025.01.07 05:22:30</c:v>
                </c:pt>
                <c:pt idx="5">
                  <c:v>2025.01.07 05:22:44</c:v>
                </c:pt>
                <c:pt idx="6">
                  <c:v>2025.01.10 14:02:42</c:v>
                </c:pt>
                <c:pt idx="7">
                  <c:v>2025.01.13 11:40:41</c:v>
                </c:pt>
                <c:pt idx="8">
                  <c:v>2025.01.14 23:01:01</c:v>
                </c:pt>
                <c:pt idx="9">
                  <c:v>2025.01.14 23:01:08</c:v>
                </c:pt>
                <c:pt idx="10">
                  <c:v>2025.01.15 16:13:40</c:v>
                </c:pt>
                <c:pt idx="11">
                  <c:v>2025.01.15 16:13:47</c:v>
                </c:pt>
                <c:pt idx="12">
                  <c:v>2025.01.16 02:00:07</c:v>
                </c:pt>
                <c:pt idx="13">
                  <c:v>2025.01.16 02:00:15</c:v>
                </c:pt>
                <c:pt idx="14">
                  <c:v>2025.01.21 03:24:14</c:v>
                </c:pt>
                <c:pt idx="15">
                  <c:v>2025.01.23 14:00:02</c:v>
                </c:pt>
                <c:pt idx="16">
                  <c:v>2025.02.03 11:03:54</c:v>
                </c:pt>
                <c:pt idx="17">
                  <c:v>2025.02.03 11:04:06</c:v>
                </c:pt>
                <c:pt idx="18">
                  <c:v>2025.02.05 00:34:29</c:v>
                </c:pt>
                <c:pt idx="19">
                  <c:v>2025.02.06 08:01:07</c:v>
                </c:pt>
                <c:pt idx="20">
                  <c:v>2025.02.07 16:00:07</c:v>
                </c:pt>
                <c:pt idx="21">
                  <c:v>2025.02.07 16:00:12</c:v>
                </c:pt>
                <c:pt idx="22">
                  <c:v>2025.02.11 00:54:37</c:v>
                </c:pt>
                <c:pt idx="23">
                  <c:v>2025.02.14 14:01:40</c:v>
                </c:pt>
                <c:pt idx="24">
                  <c:v>2025.02.20 04:00:04</c:v>
                </c:pt>
                <c:pt idx="25">
                  <c:v>2025.02.20 04:00:12</c:v>
                </c:pt>
                <c:pt idx="26">
                  <c:v>2025.02.25 08:00:02</c:v>
                </c:pt>
                <c:pt idx="27">
                  <c:v>2025.02.25 08:00:04</c:v>
                </c:pt>
                <c:pt idx="28">
                  <c:v>2025.02.25 16:08:31</c:v>
                </c:pt>
                <c:pt idx="29">
                  <c:v>2025.03.05 14:00:16</c:v>
                </c:pt>
                <c:pt idx="30">
                  <c:v>2025.03.06 02:00:15</c:v>
                </c:pt>
                <c:pt idx="31">
                  <c:v>2025.03.06 02:00:22</c:v>
                </c:pt>
                <c:pt idx="32">
                  <c:v>2025.03.13 14:50:42</c:v>
                </c:pt>
                <c:pt idx="33">
                  <c:v>2025.03.23 22:05:02</c:v>
                </c:pt>
                <c:pt idx="34">
                  <c:v>2025.03.24 18:00:06</c:v>
                </c:pt>
                <c:pt idx="35">
                  <c:v>2025.03.24 18:00:06</c:v>
                </c:pt>
                <c:pt idx="36">
                  <c:v>2025.03.25 14:00:02</c:v>
                </c:pt>
                <c:pt idx="37">
                  <c:v>2025.03.25 14:00:09</c:v>
                </c:pt>
                <c:pt idx="38">
                  <c:v>2025.03.28 01:04:44</c:v>
                </c:pt>
                <c:pt idx="39">
                  <c:v>2025.04.01 16:00:06</c:v>
                </c:pt>
                <c:pt idx="40">
                  <c:v>2025.04.03 12:40:43</c:v>
                </c:pt>
                <c:pt idx="41">
                  <c:v>2025.04.07 16:00:03</c:v>
                </c:pt>
                <c:pt idx="42">
                  <c:v>2025.04.16 00:00:00</c:v>
                </c:pt>
              </c:strCache>
            </c:strRef>
          </c:cat>
          <c:val>
            <c:numRef>
              <c:f>Sheet1!$L$156:$L$198</c:f>
              <c:numCache>
                <c:formatCode>#\ ##0.00;\-#\ ##0.00;0.00;</c:formatCode>
                <c:ptCount val="43"/>
                <c:pt idx="0">
                  <c:v>1000</c:v>
                </c:pt>
                <c:pt idx="1">
                  <c:v>1000</c:v>
                </c:pt>
                <c:pt idx="2">
                  <c:v>1269.04</c:v>
                </c:pt>
                <c:pt idx="3">
                  <c:v>1269.04</c:v>
                </c:pt>
                <c:pt idx="4">
                  <c:v>1272.2</c:v>
                </c:pt>
                <c:pt idx="5">
                  <c:v>1272.2</c:v>
                </c:pt>
                <c:pt idx="6">
                  <c:v>1680.56</c:v>
                </c:pt>
                <c:pt idx="7">
                  <c:v>1680.56</c:v>
                </c:pt>
                <c:pt idx="8">
                  <c:v>1671.26</c:v>
                </c:pt>
                <c:pt idx="9">
                  <c:v>1671.26</c:v>
                </c:pt>
                <c:pt idx="10">
                  <c:v>1712.11</c:v>
                </c:pt>
                <c:pt idx="11">
                  <c:v>1712.11</c:v>
                </c:pt>
                <c:pt idx="12">
                  <c:v>1571</c:v>
                </c:pt>
                <c:pt idx="13">
                  <c:v>1571</c:v>
                </c:pt>
                <c:pt idx="14">
                  <c:v>1880.86</c:v>
                </c:pt>
                <c:pt idx="15">
                  <c:v>1880.86</c:v>
                </c:pt>
                <c:pt idx="16">
                  <c:v>1284.6500000000001</c:v>
                </c:pt>
                <c:pt idx="17">
                  <c:v>1284.6500000000001</c:v>
                </c:pt>
                <c:pt idx="18">
                  <c:v>1745.08</c:v>
                </c:pt>
                <c:pt idx="19">
                  <c:v>1745.08</c:v>
                </c:pt>
                <c:pt idx="20">
                  <c:v>1475.19</c:v>
                </c:pt>
                <c:pt idx="21">
                  <c:v>1475.19</c:v>
                </c:pt>
                <c:pt idx="22">
                  <c:v>1906.06</c:v>
                </c:pt>
                <c:pt idx="23">
                  <c:v>1906.06</c:v>
                </c:pt>
                <c:pt idx="24">
                  <c:v>1641.38</c:v>
                </c:pt>
                <c:pt idx="25">
                  <c:v>1641.38</c:v>
                </c:pt>
                <c:pt idx="26">
                  <c:v>1537.99</c:v>
                </c:pt>
                <c:pt idx="27">
                  <c:v>1537.99</c:v>
                </c:pt>
                <c:pt idx="28">
                  <c:v>1932.65</c:v>
                </c:pt>
                <c:pt idx="29">
                  <c:v>1932.65</c:v>
                </c:pt>
                <c:pt idx="30">
                  <c:v>1672.9</c:v>
                </c:pt>
                <c:pt idx="31">
                  <c:v>1672.9</c:v>
                </c:pt>
                <c:pt idx="32">
                  <c:v>2133.4299999999998</c:v>
                </c:pt>
                <c:pt idx="33">
                  <c:v>2133.4299999999998</c:v>
                </c:pt>
                <c:pt idx="34">
                  <c:v>1967.9</c:v>
                </c:pt>
                <c:pt idx="35">
                  <c:v>1967.9</c:v>
                </c:pt>
                <c:pt idx="36">
                  <c:v>1751.28</c:v>
                </c:pt>
                <c:pt idx="37">
                  <c:v>1751.28</c:v>
                </c:pt>
                <c:pt idx="38">
                  <c:v>2106.27</c:v>
                </c:pt>
                <c:pt idx="39">
                  <c:v>2106.27</c:v>
                </c:pt>
                <c:pt idx="40">
                  <c:v>2626.5</c:v>
                </c:pt>
                <c:pt idx="41">
                  <c:v>2626.5</c:v>
                </c:pt>
                <c:pt idx="42">
                  <c:v>-17.54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E3-4E8E-AFD0-91CBFF0FC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ko-KR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2889"/>
          <c:min val="-16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ko-KR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88</xdr:row>
      <xdr:rowOff>0</xdr:rowOff>
    </xdr:from>
    <xdr:to>
      <xdr:col>13</xdr:col>
      <xdr:colOff>0</xdr:colOff>
      <xdr:row>108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47" workbookViewId="0">
      <selection activeCell="P176" sqref="P176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5" customHeight="1" x14ac:dyDescent="0.2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ht="24.95" customHeight="1" x14ac:dyDescent="0.2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5" customHeight="1" x14ac:dyDescent="0.2">
      <c r="A4" s="14" t="s">
        <v>3</v>
      </c>
      <c r="B4" s="14"/>
      <c r="C4" s="14"/>
      <c r="D4" s="15" t="s">
        <v>4</v>
      </c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4" ht="15" customHeight="1" x14ac:dyDescent="0.2">
      <c r="A5" s="14" t="s">
        <v>5</v>
      </c>
      <c r="B5" s="14"/>
      <c r="C5" s="14"/>
      <c r="D5" s="15" t="s">
        <v>6</v>
      </c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 ht="15" customHeight="1" x14ac:dyDescent="0.2">
      <c r="A6" s="14" t="s">
        <v>7</v>
      </c>
      <c r="B6" s="14"/>
      <c r="C6" s="14"/>
      <c r="D6" s="15" t="s">
        <v>8</v>
      </c>
      <c r="E6" s="15"/>
      <c r="F6" s="15"/>
      <c r="G6" s="15"/>
      <c r="H6" s="15"/>
      <c r="I6" s="15"/>
      <c r="J6" s="15"/>
      <c r="K6" s="15"/>
      <c r="L6" s="15"/>
      <c r="M6" s="15"/>
      <c r="N6" s="15"/>
    </row>
    <row r="7" spans="1:14" ht="15" customHeight="1" x14ac:dyDescent="0.2">
      <c r="A7" s="14" t="s">
        <v>9</v>
      </c>
      <c r="B7" s="14"/>
      <c r="C7" s="14"/>
      <c r="D7" s="15" t="s">
        <v>10</v>
      </c>
      <c r="E7" s="15"/>
      <c r="F7" s="15"/>
      <c r="G7" s="15"/>
      <c r="H7" s="15"/>
      <c r="I7" s="15"/>
      <c r="J7" s="15"/>
      <c r="K7" s="15"/>
      <c r="L7" s="15"/>
      <c r="M7" s="15"/>
      <c r="N7" s="15"/>
    </row>
    <row r="8" spans="1:14" ht="15" customHeight="1" x14ac:dyDescent="0.2">
      <c r="D8" s="15" t="s">
        <v>11</v>
      </c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1:14" ht="15" customHeight="1" x14ac:dyDescent="0.2">
      <c r="D9" s="15" t="s">
        <v>12</v>
      </c>
      <c r="E9" s="15"/>
      <c r="F9" s="15"/>
      <c r="G9" s="15"/>
      <c r="H9" s="15"/>
      <c r="I9" s="15"/>
      <c r="J9" s="15"/>
      <c r="K9" s="15"/>
      <c r="L9" s="15"/>
      <c r="M9" s="15"/>
      <c r="N9" s="15"/>
    </row>
    <row r="10" spans="1:14" ht="15" customHeight="1" x14ac:dyDescent="0.2">
      <c r="D10" s="15" t="s">
        <v>13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</row>
    <row r="11" spans="1:14" ht="15" customHeight="1" x14ac:dyDescent="0.2">
      <c r="D11" s="15" t="s">
        <v>10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spans="1:14" ht="15" customHeight="1" x14ac:dyDescent="0.2">
      <c r="D12" s="15" t="s">
        <v>14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ht="15" customHeight="1" x14ac:dyDescent="0.2">
      <c r="D13" s="15" t="s">
        <v>15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</row>
    <row r="14" spans="1:14" ht="15" customHeight="1" x14ac:dyDescent="0.2">
      <c r="D14" s="15" t="s">
        <v>16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spans="1:14" ht="15" customHeight="1" x14ac:dyDescent="0.2">
      <c r="D15" s="15" t="s">
        <v>17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4" ht="15" customHeight="1" x14ac:dyDescent="0.2">
      <c r="D16" s="15" t="s">
        <v>18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4:14" ht="15" customHeight="1" x14ac:dyDescent="0.2">
      <c r="D17" s="15" t="s">
        <v>19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4:14" ht="15" customHeight="1" x14ac:dyDescent="0.2">
      <c r="D18" s="15" t="s">
        <v>20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 spans="4:14" ht="15" customHeight="1" x14ac:dyDescent="0.2">
      <c r="D19" s="15" t="s">
        <v>10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4:14" ht="15" customHeight="1" x14ac:dyDescent="0.2">
      <c r="D20" s="15" t="s">
        <v>21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 spans="4:14" ht="15" customHeight="1" x14ac:dyDescent="0.2">
      <c r="D21" s="15" t="s">
        <v>22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spans="4:14" ht="15" customHeight="1" x14ac:dyDescent="0.2">
      <c r="D22" s="15" t="s">
        <v>23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</row>
    <row r="23" spans="4:14" ht="15" customHeight="1" x14ac:dyDescent="0.2">
      <c r="D23" s="15" t="s">
        <v>24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 spans="4:14" ht="15" customHeight="1" x14ac:dyDescent="0.2">
      <c r="D24" s="15" t="s">
        <v>25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spans="4:14" ht="15" customHeight="1" x14ac:dyDescent="0.2">
      <c r="D25" s="15" t="s">
        <v>26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</row>
    <row r="26" spans="4:14" ht="15" customHeight="1" x14ac:dyDescent="0.2">
      <c r="D26" s="15" t="s">
        <v>27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</row>
    <row r="27" spans="4:14" ht="15" customHeight="1" x14ac:dyDescent="0.2">
      <c r="D27" s="15" t="s">
        <v>28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</row>
    <row r="28" spans="4:14" ht="15" customHeight="1" x14ac:dyDescent="0.2">
      <c r="D28" s="15" t="s">
        <v>10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</row>
    <row r="29" spans="4:14" ht="15" customHeight="1" x14ac:dyDescent="0.2">
      <c r="D29" s="15" t="s">
        <v>29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 spans="4:14" ht="15" customHeight="1" x14ac:dyDescent="0.2">
      <c r="D30" s="15" t="s">
        <v>30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</row>
    <row r="31" spans="4:14" ht="15" customHeight="1" x14ac:dyDescent="0.2">
      <c r="D31" s="15" t="s">
        <v>31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</row>
    <row r="32" spans="4:14" ht="15" customHeight="1" x14ac:dyDescent="0.2">
      <c r="D32" s="15" t="s">
        <v>32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 spans="4:14" ht="15" customHeight="1" x14ac:dyDescent="0.2">
      <c r="D33" s="15" t="s">
        <v>33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 spans="4:14" ht="15" customHeight="1" x14ac:dyDescent="0.2">
      <c r="D34" s="15" t="s">
        <v>34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 spans="4:14" ht="15" customHeight="1" x14ac:dyDescent="0.2">
      <c r="D35" s="15" t="s">
        <v>35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</row>
    <row r="36" spans="4:14" ht="15" customHeight="1" x14ac:dyDescent="0.2">
      <c r="D36" s="15" t="s">
        <v>36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</row>
    <row r="37" spans="4:14" ht="15" customHeight="1" x14ac:dyDescent="0.2">
      <c r="D37" s="15" t="s">
        <v>37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</row>
    <row r="38" spans="4:14" ht="15" customHeight="1" x14ac:dyDescent="0.2">
      <c r="D38" s="15" t="s">
        <v>38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 spans="4:14" ht="15" customHeight="1" x14ac:dyDescent="0.2">
      <c r="D39" s="15" t="s">
        <v>39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 spans="4:14" ht="15" customHeight="1" x14ac:dyDescent="0.2">
      <c r="D40" s="15" t="s">
        <v>10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</row>
    <row r="41" spans="4:14" ht="15" customHeight="1" x14ac:dyDescent="0.2">
      <c r="D41" s="15" t="s">
        <v>40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 spans="4:14" ht="15" customHeight="1" x14ac:dyDescent="0.2">
      <c r="D42" s="15" t="s">
        <v>41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</row>
    <row r="43" spans="4:14" ht="15" customHeight="1" x14ac:dyDescent="0.2">
      <c r="D43" s="15" t="s">
        <v>42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</row>
    <row r="44" spans="4:14" ht="15" customHeight="1" x14ac:dyDescent="0.2">
      <c r="D44" s="15" t="s">
        <v>43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spans="4:14" ht="15" customHeight="1" x14ac:dyDescent="0.2">
      <c r="D45" s="15" t="s">
        <v>44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</row>
    <row r="46" spans="4:14" ht="15" customHeight="1" x14ac:dyDescent="0.2">
      <c r="D46" s="15" t="s">
        <v>45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</row>
    <row r="47" spans="4:14" ht="15" customHeight="1" x14ac:dyDescent="0.2">
      <c r="D47" s="15" t="s">
        <v>46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 spans="4:14" ht="15" customHeight="1" x14ac:dyDescent="0.2">
      <c r="D48" s="15" t="s">
        <v>47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</row>
    <row r="49" spans="1:14" ht="15" customHeight="1" x14ac:dyDescent="0.2">
      <c r="D49" s="15" t="s">
        <v>10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 spans="1:14" ht="15" customHeight="1" x14ac:dyDescent="0.2">
      <c r="D50" s="15" t="s">
        <v>48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</row>
    <row r="51" spans="1:14" ht="15" customHeight="1" x14ac:dyDescent="0.2">
      <c r="D51" s="15" t="s">
        <v>49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</row>
    <row r="52" spans="1:14" ht="15" customHeight="1" x14ac:dyDescent="0.2">
      <c r="D52" s="15" t="s">
        <v>50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</row>
    <row r="53" spans="1:14" ht="15" customHeight="1" x14ac:dyDescent="0.2">
      <c r="D53" s="15" t="s">
        <v>51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</row>
    <row r="54" spans="1:14" ht="15" customHeight="1" x14ac:dyDescent="0.2">
      <c r="D54" s="15" t="s">
        <v>52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</row>
    <row r="55" spans="1:14" ht="15" customHeight="1" x14ac:dyDescent="0.2">
      <c r="D55" s="15" t="s">
        <v>53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</row>
    <row r="56" spans="1:14" ht="15" customHeight="1" x14ac:dyDescent="0.2">
      <c r="D56" s="15" t="s">
        <v>54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</row>
    <row r="57" spans="1:14" ht="15" customHeight="1" x14ac:dyDescent="0.2">
      <c r="D57" s="15" t="s">
        <v>55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</row>
    <row r="58" spans="1:14" ht="15" customHeight="1" x14ac:dyDescent="0.2">
      <c r="D58" s="15" t="s">
        <v>56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</row>
    <row r="59" spans="1:14" ht="15" customHeight="1" x14ac:dyDescent="0.2">
      <c r="D59" s="15" t="s">
        <v>57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</row>
    <row r="60" spans="1:14" ht="15" customHeight="1" x14ac:dyDescent="0.2">
      <c r="D60" s="15" t="s">
        <v>58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</row>
    <row r="61" spans="1:14" ht="15" customHeight="1" x14ac:dyDescent="0.2">
      <c r="D61" s="15" t="s">
        <v>59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</row>
    <row r="62" spans="1:14" ht="15" customHeight="1" x14ac:dyDescent="0.2">
      <c r="A62" s="14" t="s">
        <v>60</v>
      </c>
      <c r="B62" s="14"/>
      <c r="C62" s="14"/>
      <c r="D62" s="15" t="s">
        <v>61</v>
      </c>
      <c r="E62" s="15"/>
      <c r="F62" s="15"/>
      <c r="G62" s="15"/>
      <c r="H62" s="15"/>
      <c r="I62" s="15"/>
      <c r="J62" s="15"/>
      <c r="K62" s="15"/>
      <c r="L62" s="15"/>
      <c r="M62" s="15"/>
      <c r="N62" s="15"/>
    </row>
    <row r="63" spans="1:14" ht="15" customHeight="1" x14ac:dyDescent="0.2">
      <c r="A63" s="14" t="s">
        <v>5</v>
      </c>
      <c r="B63" s="14"/>
      <c r="C63" s="14"/>
      <c r="D63" s="15" t="s">
        <v>62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</row>
    <row r="64" spans="1:14" ht="15" customHeight="1" x14ac:dyDescent="0.2">
      <c r="A64" s="14" t="s">
        <v>63</v>
      </c>
      <c r="B64" s="14"/>
      <c r="C64" s="14"/>
      <c r="D64" s="16">
        <v>1000</v>
      </c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spans="1:14" ht="15" customHeight="1" x14ac:dyDescent="0.2">
      <c r="A65" s="14" t="s">
        <v>64</v>
      </c>
      <c r="B65" s="14"/>
      <c r="C65" s="14"/>
      <c r="D65" s="15" t="s">
        <v>65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</row>
    <row r="66" spans="1:14" ht="24.95" customHeight="1" x14ac:dyDescent="0.2">
      <c r="A66" s="13" t="s">
        <v>66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2">
      <c r="A67" s="14" t="s">
        <v>67</v>
      </c>
      <c r="B67" s="14"/>
      <c r="C67" s="14"/>
      <c r="D67" s="17" t="s">
        <v>68</v>
      </c>
    </row>
    <row r="68" spans="1:14" ht="15" customHeight="1" x14ac:dyDescent="0.2">
      <c r="A68" s="14" t="s">
        <v>69</v>
      </c>
      <c r="B68" s="14"/>
      <c r="C68" s="14"/>
      <c r="D68" s="18">
        <v>888</v>
      </c>
      <c r="E68" s="14" t="s">
        <v>70</v>
      </c>
      <c r="F68" s="14"/>
      <c r="G68" s="14"/>
      <c r="H68" s="18">
        <v>18446985</v>
      </c>
      <c r="I68" s="14" t="s">
        <v>5</v>
      </c>
      <c r="J68" s="14"/>
      <c r="K68" s="14"/>
      <c r="L68" s="18">
        <v>1</v>
      </c>
      <c r="M68" s="18"/>
      <c r="N68" s="18"/>
    </row>
    <row r="69" spans="1:14" ht="15" customHeight="1" x14ac:dyDescent="0.2">
      <c r="A69" s="14" t="s">
        <v>71</v>
      </c>
      <c r="B69" s="14"/>
      <c r="C69" s="14"/>
      <c r="D69" s="19">
        <v>-1017.54</v>
      </c>
      <c r="E69" s="14" t="s">
        <v>72</v>
      </c>
      <c r="F69" s="14"/>
      <c r="G69" s="14"/>
      <c r="H69" s="19">
        <v>1017.54</v>
      </c>
      <c r="I69" s="14" t="s">
        <v>73</v>
      </c>
      <c r="J69" s="14"/>
      <c r="K69" s="14"/>
      <c r="L69" s="19">
        <v>1017.77</v>
      </c>
      <c r="M69" s="19"/>
      <c r="N69" s="19"/>
    </row>
    <row r="70" spans="1:14" ht="15" customHeight="1" x14ac:dyDescent="0.2">
      <c r="A70" s="14" t="s">
        <v>74</v>
      </c>
      <c r="B70" s="14"/>
      <c r="C70" s="14"/>
      <c r="D70" s="19">
        <v>3652.98</v>
      </c>
      <c r="E70" s="14" t="s">
        <v>75</v>
      </c>
      <c r="F70" s="14"/>
      <c r="G70" s="14"/>
      <c r="H70" s="17" t="s">
        <v>76</v>
      </c>
      <c r="I70" s="14" t="s">
        <v>77</v>
      </c>
      <c r="J70" s="14"/>
      <c r="K70" s="14"/>
      <c r="L70" s="17" t="s">
        <v>78</v>
      </c>
      <c r="M70" s="17"/>
      <c r="N70" s="17"/>
    </row>
    <row r="71" spans="1:14" ht="15" customHeight="1" x14ac:dyDescent="0.2">
      <c r="A71" s="14" t="s">
        <v>79</v>
      </c>
      <c r="B71" s="14"/>
      <c r="C71" s="14"/>
      <c r="D71" s="19">
        <v>-4670.5200000000004</v>
      </c>
      <c r="E71" s="14" t="s">
        <v>80</v>
      </c>
      <c r="F71" s="14"/>
      <c r="G71" s="14"/>
      <c r="H71" s="17" t="s">
        <v>81</v>
      </c>
      <c r="I71" s="14" t="s">
        <v>82</v>
      </c>
      <c r="J71" s="14"/>
      <c r="K71" s="14"/>
      <c r="L71" s="17" t="s">
        <v>83</v>
      </c>
      <c r="M71" s="17"/>
      <c r="N71" s="17"/>
    </row>
    <row r="73" spans="1:14" ht="15" customHeight="1" x14ac:dyDescent="0.2">
      <c r="A73" s="14" t="s">
        <v>84</v>
      </c>
      <c r="B73" s="14"/>
      <c r="C73" s="14"/>
      <c r="D73" s="19">
        <v>0.78213600000000005</v>
      </c>
      <c r="E73" s="14" t="s">
        <v>85</v>
      </c>
      <c r="F73" s="14"/>
      <c r="G73" s="14"/>
      <c r="H73" s="19">
        <v>-48.454286000000003</v>
      </c>
      <c r="I73" s="14" t="s">
        <v>86</v>
      </c>
      <c r="J73" s="14"/>
      <c r="K73" s="14"/>
      <c r="L73" s="17" t="s">
        <v>87</v>
      </c>
      <c r="M73" s="17"/>
      <c r="N73" s="17"/>
    </row>
    <row r="74" spans="1:14" ht="15" customHeight="1" x14ac:dyDescent="0.2">
      <c r="A74" s="14" t="s">
        <v>88</v>
      </c>
      <c r="B74" s="14"/>
      <c r="C74" s="14"/>
      <c r="D74" s="19">
        <v>-0.34431600000000001</v>
      </c>
      <c r="E74" s="14" t="s">
        <v>89</v>
      </c>
      <c r="F74" s="14"/>
      <c r="G74" s="14"/>
      <c r="H74" s="19">
        <v>-1.2537739999999999</v>
      </c>
      <c r="I74" s="14" t="s">
        <v>90</v>
      </c>
      <c r="J74" s="14"/>
      <c r="K74" s="14"/>
      <c r="L74" s="17" t="s">
        <v>91</v>
      </c>
      <c r="M74" s="17"/>
      <c r="N74" s="17"/>
    </row>
    <row r="75" spans="1:14" ht="15" customHeight="1" x14ac:dyDescent="0.2">
      <c r="A75" s="14" t="s">
        <v>92</v>
      </c>
      <c r="B75" s="14"/>
      <c r="C75" s="14"/>
      <c r="D75" s="17" t="s">
        <v>93</v>
      </c>
      <c r="E75" s="14" t="s">
        <v>94</v>
      </c>
      <c r="F75" s="14"/>
      <c r="G75" s="14"/>
      <c r="H75" s="19">
        <v>0.216553</v>
      </c>
      <c r="I75" s="14" t="s">
        <v>95</v>
      </c>
      <c r="J75" s="14"/>
      <c r="K75" s="14"/>
      <c r="L75" s="17" t="s">
        <v>96</v>
      </c>
      <c r="M75" s="17"/>
      <c r="N75" s="17"/>
    </row>
    <row r="76" spans="1:14" ht="15" customHeight="1" x14ac:dyDescent="0.2">
      <c r="A76" s="14" t="s">
        <v>97</v>
      </c>
      <c r="B76" s="14"/>
      <c r="C76" s="14"/>
      <c r="D76" s="17" t="s">
        <v>98</v>
      </c>
      <c r="E76" s="14" t="s">
        <v>99</v>
      </c>
      <c r="F76" s="14"/>
      <c r="G76" s="14"/>
      <c r="H76" s="19">
        <v>505.74965300000002</v>
      </c>
    </row>
    <row r="78" spans="1:14" ht="15" customHeight="1" x14ac:dyDescent="0.2">
      <c r="A78" s="14" t="s">
        <v>100</v>
      </c>
      <c r="B78" s="14"/>
      <c r="C78" s="14"/>
      <c r="D78" s="19">
        <v>0.322494</v>
      </c>
      <c r="E78" s="14" t="s">
        <v>101</v>
      </c>
      <c r="F78" s="14"/>
      <c r="G78" s="14"/>
      <c r="H78" s="19">
        <v>0.88658700000000001</v>
      </c>
      <c r="I78" s="14" t="s">
        <v>102</v>
      </c>
      <c r="J78" s="14"/>
      <c r="K78" s="14"/>
      <c r="L78" s="19">
        <v>-4.6380999999999999E-2</v>
      </c>
      <c r="M78" s="19"/>
      <c r="N78" s="19"/>
    </row>
    <row r="79" spans="1:14" ht="15" customHeight="1" x14ac:dyDescent="0.2">
      <c r="A79" s="14" t="s">
        <v>103</v>
      </c>
      <c r="B79" s="14"/>
      <c r="C79" s="14"/>
      <c r="D79" s="17" t="s">
        <v>104</v>
      </c>
      <c r="E79" s="14" t="s">
        <v>105</v>
      </c>
      <c r="F79" s="14"/>
      <c r="G79" s="14"/>
      <c r="H79" s="17" t="s">
        <v>106</v>
      </c>
      <c r="I79" s="14" t="s">
        <v>107</v>
      </c>
      <c r="J79" s="14"/>
      <c r="K79" s="14"/>
      <c r="L79" s="17" t="s">
        <v>108</v>
      </c>
      <c r="M79" s="17"/>
      <c r="N79" s="17"/>
    </row>
    <row r="81" spans="1:14" ht="15" customHeight="1" x14ac:dyDescent="0.2">
      <c r="A81" s="14" t="s">
        <v>109</v>
      </c>
      <c r="B81" s="14"/>
      <c r="C81" s="14"/>
      <c r="D81" s="18">
        <v>21</v>
      </c>
      <c r="E81" s="14" t="s">
        <v>110</v>
      </c>
      <c r="F81" s="14"/>
      <c r="G81" s="14"/>
      <c r="H81" s="17" t="s">
        <v>111</v>
      </c>
      <c r="I81" s="14" t="s">
        <v>112</v>
      </c>
      <c r="J81" s="14"/>
      <c r="K81" s="14"/>
      <c r="L81" s="17" t="s">
        <v>113</v>
      </c>
      <c r="M81" s="17"/>
      <c r="N81" s="17"/>
    </row>
    <row r="82" spans="1:14" ht="15" customHeight="1" x14ac:dyDescent="0.2">
      <c r="A82" s="14" t="s">
        <v>109</v>
      </c>
      <c r="B82" s="14"/>
      <c r="C82" s="14"/>
      <c r="D82" s="18">
        <v>42</v>
      </c>
      <c r="E82" s="14" t="s">
        <v>114</v>
      </c>
      <c r="F82" s="14"/>
      <c r="G82" s="14"/>
      <c r="H82" s="17" t="s">
        <v>115</v>
      </c>
      <c r="I82" s="14" t="s">
        <v>116</v>
      </c>
      <c r="J82" s="14"/>
      <c r="K82" s="14"/>
      <c r="L82" s="17" t="s">
        <v>117</v>
      </c>
      <c r="M82" s="17"/>
      <c r="N82" s="17"/>
    </row>
    <row r="83" spans="1:14" ht="15" customHeight="1" x14ac:dyDescent="0.2">
      <c r="E83" s="14" t="s">
        <v>118</v>
      </c>
      <c r="F83" s="14"/>
      <c r="G83" s="14"/>
      <c r="H83" s="19">
        <v>520.23</v>
      </c>
      <c r="I83" s="14" t="s">
        <v>119</v>
      </c>
      <c r="J83" s="14"/>
      <c r="K83" s="14"/>
      <c r="L83" s="19">
        <v>-2644.04</v>
      </c>
      <c r="M83" s="19"/>
      <c r="N83" s="19"/>
    </row>
    <row r="84" spans="1:14" ht="15" customHeight="1" x14ac:dyDescent="0.2">
      <c r="E84" s="14" t="s">
        <v>120</v>
      </c>
      <c r="F84" s="14"/>
      <c r="G84" s="14"/>
      <c r="H84" s="19">
        <v>332.089091</v>
      </c>
      <c r="I84" s="14" t="s">
        <v>121</v>
      </c>
      <c r="J84" s="14"/>
      <c r="K84" s="14"/>
      <c r="L84" s="19">
        <v>-467.05200000000002</v>
      </c>
      <c r="M84" s="19"/>
      <c r="N84" s="19"/>
    </row>
    <row r="85" spans="1:14" ht="15" customHeight="1" x14ac:dyDescent="0.2">
      <c r="E85" s="14" t="s">
        <v>122</v>
      </c>
      <c r="F85" s="14"/>
      <c r="G85" s="14"/>
      <c r="H85" s="17" t="s">
        <v>123</v>
      </c>
      <c r="I85" s="14" t="s">
        <v>124</v>
      </c>
      <c r="J85" s="14"/>
      <c r="K85" s="14"/>
      <c r="L85" s="17" t="s">
        <v>125</v>
      </c>
      <c r="M85" s="17"/>
      <c r="N85" s="17"/>
    </row>
    <row r="86" spans="1:14" ht="15" customHeight="1" x14ac:dyDescent="0.2">
      <c r="E86" s="14" t="s">
        <v>126</v>
      </c>
      <c r="F86" s="14"/>
      <c r="G86" s="14"/>
      <c r="H86" s="17" t="s">
        <v>127</v>
      </c>
      <c r="I86" s="14" t="s">
        <v>128</v>
      </c>
      <c r="J86" s="14"/>
      <c r="K86" s="14"/>
      <c r="L86" s="17" t="s">
        <v>129</v>
      </c>
      <c r="M86" s="17"/>
      <c r="N86" s="17"/>
    </row>
    <row r="87" spans="1:14" ht="15" customHeight="1" x14ac:dyDescent="0.2">
      <c r="E87" s="14" t="s">
        <v>130</v>
      </c>
      <c r="F87" s="14"/>
      <c r="G87" s="14"/>
      <c r="H87" s="18">
        <v>1</v>
      </c>
      <c r="I87" s="14" t="s">
        <v>131</v>
      </c>
      <c r="J87" s="14"/>
      <c r="K87" s="14"/>
      <c r="L87" s="18">
        <v>1</v>
      </c>
      <c r="M87" s="18"/>
      <c r="N87" s="18"/>
    </row>
    <row r="110" spans="1:14" ht="20.100000000000001" customHeight="1" x14ac:dyDescent="0.2">
      <c r="A110" s="13" t="s">
        <v>132</v>
      </c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</row>
    <row r="111" spans="1:14" ht="20.100000000000001" customHeight="1" x14ac:dyDescent="0.2">
      <c r="A111" s="2" t="s">
        <v>133</v>
      </c>
      <c r="B111" s="2" t="s">
        <v>132</v>
      </c>
      <c r="C111" s="2" t="s">
        <v>134</v>
      </c>
      <c r="D111" s="2" t="s">
        <v>135</v>
      </c>
      <c r="E111" s="20" t="s">
        <v>136</v>
      </c>
      <c r="F111" s="20"/>
      <c r="G111" s="2" t="s">
        <v>137</v>
      </c>
      <c r="H111" s="2" t="s">
        <v>138</v>
      </c>
      <c r="I111" s="2" t="s">
        <v>139</v>
      </c>
      <c r="J111" s="20" t="s">
        <v>140</v>
      </c>
      <c r="K111" s="20"/>
      <c r="L111" s="2" t="s">
        <v>141</v>
      </c>
      <c r="M111" s="20" t="s">
        <v>142</v>
      </c>
      <c r="N111" s="20"/>
    </row>
    <row r="112" spans="1:14" ht="15" customHeight="1" x14ac:dyDescent="0.2">
      <c r="A112" s="3" t="s">
        <v>143</v>
      </c>
      <c r="B112" s="4">
        <v>2</v>
      </c>
      <c r="C112" s="3" t="s">
        <v>6</v>
      </c>
      <c r="D112" s="3" t="s">
        <v>144</v>
      </c>
      <c r="E112" s="21" t="s">
        <v>145</v>
      </c>
      <c r="F112" s="21"/>
      <c r="G112" s="5">
        <v>0</v>
      </c>
      <c r="H112" s="3"/>
      <c r="I112" s="5">
        <v>2651.0479999999998</v>
      </c>
      <c r="J112" s="21" t="s">
        <v>143</v>
      </c>
      <c r="K112" s="21"/>
      <c r="L112" s="3" t="s">
        <v>146</v>
      </c>
      <c r="M112" s="21" t="s">
        <v>147</v>
      </c>
      <c r="N112" s="21"/>
    </row>
    <row r="113" spans="1:14" ht="15" customHeight="1" x14ac:dyDescent="0.2">
      <c r="A113" s="1" t="s">
        <v>148</v>
      </c>
      <c r="B113" s="6">
        <v>3</v>
      </c>
      <c r="C113" s="1" t="s">
        <v>6</v>
      </c>
      <c r="D113" s="1" t="s">
        <v>149</v>
      </c>
      <c r="E113" s="14" t="s">
        <v>145</v>
      </c>
      <c r="F113" s="14"/>
      <c r="G113" s="7">
        <v>0</v>
      </c>
      <c r="H113" s="1"/>
      <c r="I113" s="1"/>
      <c r="J113" s="14" t="s">
        <v>148</v>
      </c>
      <c r="K113" s="14"/>
      <c r="L113" s="1" t="s">
        <v>146</v>
      </c>
      <c r="M113" s="14" t="s">
        <v>150</v>
      </c>
      <c r="N113" s="14"/>
    </row>
    <row r="114" spans="1:14" ht="15" customHeight="1" x14ac:dyDescent="0.2">
      <c r="A114" s="3" t="s">
        <v>151</v>
      </c>
      <c r="B114" s="4">
        <v>4</v>
      </c>
      <c r="C114" s="3" t="s">
        <v>6</v>
      </c>
      <c r="D114" s="3" t="s">
        <v>149</v>
      </c>
      <c r="E114" s="21" t="s">
        <v>145</v>
      </c>
      <c r="F114" s="21"/>
      <c r="G114" s="5">
        <v>0</v>
      </c>
      <c r="H114" s="3"/>
      <c r="I114" s="5">
        <v>2602.5140000000001</v>
      </c>
      <c r="J114" s="21" t="s">
        <v>151</v>
      </c>
      <c r="K114" s="21"/>
      <c r="L114" s="3" t="s">
        <v>146</v>
      </c>
      <c r="M114" s="21" t="s">
        <v>152</v>
      </c>
      <c r="N114" s="21"/>
    </row>
    <row r="115" spans="1:14" ht="15" customHeight="1" x14ac:dyDescent="0.2">
      <c r="A115" s="1" t="s">
        <v>153</v>
      </c>
      <c r="B115" s="6">
        <v>5</v>
      </c>
      <c r="C115" s="1" t="s">
        <v>6</v>
      </c>
      <c r="D115" s="1" t="s">
        <v>144</v>
      </c>
      <c r="E115" s="14" t="s">
        <v>145</v>
      </c>
      <c r="F115" s="14"/>
      <c r="G115" s="7">
        <v>0</v>
      </c>
      <c r="H115" s="1"/>
      <c r="I115" s="1"/>
      <c r="J115" s="14" t="s">
        <v>153</v>
      </c>
      <c r="K115" s="14"/>
      <c r="L115" s="1" t="s">
        <v>146</v>
      </c>
      <c r="M115" s="14"/>
      <c r="N115" s="14"/>
    </row>
    <row r="116" spans="1:14" ht="15" customHeight="1" x14ac:dyDescent="0.2">
      <c r="A116" s="3" t="s">
        <v>154</v>
      </c>
      <c r="B116" s="4">
        <v>6</v>
      </c>
      <c r="C116" s="3" t="s">
        <v>6</v>
      </c>
      <c r="D116" s="3" t="s">
        <v>144</v>
      </c>
      <c r="E116" s="21" t="s">
        <v>145</v>
      </c>
      <c r="F116" s="21"/>
      <c r="G116" s="5">
        <v>0</v>
      </c>
      <c r="H116" s="3"/>
      <c r="I116" s="5">
        <v>2685.1779999999999</v>
      </c>
      <c r="J116" s="21" t="s">
        <v>154</v>
      </c>
      <c r="K116" s="21"/>
      <c r="L116" s="3" t="s">
        <v>146</v>
      </c>
      <c r="M116" s="21" t="s">
        <v>147</v>
      </c>
      <c r="N116" s="21"/>
    </row>
    <row r="117" spans="1:14" ht="15" customHeight="1" x14ac:dyDescent="0.2">
      <c r="A117" s="1" t="s">
        <v>155</v>
      </c>
      <c r="B117" s="6">
        <v>7</v>
      </c>
      <c r="C117" s="1" t="s">
        <v>6</v>
      </c>
      <c r="D117" s="1" t="s">
        <v>149</v>
      </c>
      <c r="E117" s="14" t="s">
        <v>145</v>
      </c>
      <c r="F117" s="14"/>
      <c r="G117" s="7">
        <v>0</v>
      </c>
      <c r="H117" s="1"/>
      <c r="I117" s="1"/>
      <c r="J117" s="14" t="s">
        <v>155</v>
      </c>
      <c r="K117" s="14"/>
      <c r="L117" s="1" t="s">
        <v>146</v>
      </c>
      <c r="M117" s="14" t="s">
        <v>156</v>
      </c>
      <c r="N117" s="14"/>
    </row>
    <row r="118" spans="1:14" ht="15" customHeight="1" x14ac:dyDescent="0.2">
      <c r="A118" s="3" t="s">
        <v>157</v>
      </c>
      <c r="B118" s="4">
        <v>8</v>
      </c>
      <c r="C118" s="3" t="s">
        <v>6</v>
      </c>
      <c r="D118" s="3" t="s">
        <v>149</v>
      </c>
      <c r="E118" s="21" t="s">
        <v>145</v>
      </c>
      <c r="F118" s="21"/>
      <c r="G118" s="5">
        <v>0</v>
      </c>
      <c r="H118" s="3"/>
      <c r="I118" s="5">
        <v>2636.962</v>
      </c>
      <c r="J118" s="21" t="s">
        <v>157</v>
      </c>
      <c r="K118" s="21"/>
      <c r="L118" s="3" t="s">
        <v>146</v>
      </c>
      <c r="M118" s="21" t="s">
        <v>152</v>
      </c>
      <c r="N118" s="21"/>
    </row>
    <row r="119" spans="1:14" ht="15" customHeight="1" x14ac:dyDescent="0.2">
      <c r="A119" s="1" t="s">
        <v>158</v>
      </c>
      <c r="B119" s="6">
        <v>9</v>
      </c>
      <c r="C119" s="1" t="s">
        <v>6</v>
      </c>
      <c r="D119" s="1" t="s">
        <v>144</v>
      </c>
      <c r="E119" s="14" t="s">
        <v>145</v>
      </c>
      <c r="F119" s="14"/>
      <c r="G119" s="7">
        <v>0</v>
      </c>
      <c r="H119" s="1"/>
      <c r="I119" s="1"/>
      <c r="J119" s="14" t="s">
        <v>158</v>
      </c>
      <c r="K119" s="14"/>
      <c r="L119" s="1" t="s">
        <v>146</v>
      </c>
      <c r="M119" s="14"/>
      <c r="N119" s="14"/>
    </row>
    <row r="120" spans="1:14" ht="15" customHeight="1" x14ac:dyDescent="0.2">
      <c r="A120" s="3" t="s">
        <v>159</v>
      </c>
      <c r="B120" s="4">
        <v>10</v>
      </c>
      <c r="C120" s="3" t="s">
        <v>6</v>
      </c>
      <c r="D120" s="3" t="s">
        <v>144</v>
      </c>
      <c r="E120" s="21" t="s">
        <v>145</v>
      </c>
      <c r="F120" s="21"/>
      <c r="G120" s="5">
        <v>0</v>
      </c>
      <c r="H120" s="3"/>
      <c r="I120" s="5">
        <v>2708.9830000000002</v>
      </c>
      <c r="J120" s="21" t="s">
        <v>159</v>
      </c>
      <c r="K120" s="21"/>
      <c r="L120" s="3" t="s">
        <v>146</v>
      </c>
      <c r="M120" s="21" t="s">
        <v>147</v>
      </c>
      <c r="N120" s="21"/>
    </row>
    <row r="121" spans="1:14" ht="15" customHeight="1" x14ac:dyDescent="0.2">
      <c r="A121" s="1" t="s">
        <v>160</v>
      </c>
      <c r="B121" s="6">
        <v>11</v>
      </c>
      <c r="C121" s="1" t="s">
        <v>6</v>
      </c>
      <c r="D121" s="1" t="s">
        <v>149</v>
      </c>
      <c r="E121" s="14" t="s">
        <v>145</v>
      </c>
      <c r="F121" s="14"/>
      <c r="G121" s="7">
        <v>0</v>
      </c>
      <c r="H121" s="1"/>
      <c r="I121" s="1"/>
      <c r="J121" s="14" t="s">
        <v>160</v>
      </c>
      <c r="K121" s="14"/>
      <c r="L121" s="1" t="s">
        <v>146</v>
      </c>
      <c r="M121" s="14"/>
      <c r="N121" s="14"/>
    </row>
    <row r="122" spans="1:14" ht="15" customHeight="1" x14ac:dyDescent="0.2">
      <c r="A122" s="3" t="s">
        <v>161</v>
      </c>
      <c r="B122" s="4">
        <v>12</v>
      </c>
      <c r="C122" s="3" t="s">
        <v>6</v>
      </c>
      <c r="D122" s="3" t="s">
        <v>149</v>
      </c>
      <c r="E122" s="21" t="s">
        <v>145</v>
      </c>
      <c r="F122" s="21"/>
      <c r="G122" s="5">
        <v>0</v>
      </c>
      <c r="H122" s="3"/>
      <c r="I122" s="5">
        <v>2656.328</v>
      </c>
      <c r="J122" s="21" t="s">
        <v>161</v>
      </c>
      <c r="K122" s="21"/>
      <c r="L122" s="3" t="s">
        <v>146</v>
      </c>
      <c r="M122" s="21" t="s">
        <v>152</v>
      </c>
      <c r="N122" s="21"/>
    </row>
    <row r="123" spans="1:14" ht="15" customHeight="1" x14ac:dyDescent="0.2">
      <c r="A123" s="1" t="s">
        <v>162</v>
      </c>
      <c r="B123" s="6">
        <v>13</v>
      </c>
      <c r="C123" s="1" t="s">
        <v>6</v>
      </c>
      <c r="D123" s="1" t="s">
        <v>144</v>
      </c>
      <c r="E123" s="14" t="s">
        <v>145</v>
      </c>
      <c r="F123" s="14"/>
      <c r="G123" s="7">
        <v>0</v>
      </c>
      <c r="H123" s="1"/>
      <c r="I123" s="1"/>
      <c r="J123" s="14" t="s">
        <v>162</v>
      </c>
      <c r="K123" s="14"/>
      <c r="L123" s="1" t="s">
        <v>146</v>
      </c>
      <c r="M123" s="14"/>
      <c r="N123" s="14"/>
    </row>
    <row r="124" spans="1:14" ht="15" customHeight="1" x14ac:dyDescent="0.2">
      <c r="A124" s="3" t="s">
        <v>163</v>
      </c>
      <c r="B124" s="4">
        <v>14</v>
      </c>
      <c r="C124" s="3" t="s">
        <v>6</v>
      </c>
      <c r="D124" s="3" t="s">
        <v>144</v>
      </c>
      <c r="E124" s="21" t="s">
        <v>145</v>
      </c>
      <c r="F124" s="21"/>
      <c r="G124" s="5">
        <v>0</v>
      </c>
      <c r="H124" s="3"/>
      <c r="I124" s="5">
        <v>2726.8159999999998</v>
      </c>
      <c r="J124" s="21" t="s">
        <v>163</v>
      </c>
      <c r="K124" s="21"/>
      <c r="L124" s="3" t="s">
        <v>146</v>
      </c>
      <c r="M124" s="21" t="s">
        <v>147</v>
      </c>
      <c r="N124" s="21"/>
    </row>
    <row r="125" spans="1:14" ht="15" customHeight="1" x14ac:dyDescent="0.2">
      <c r="A125" s="1" t="s">
        <v>164</v>
      </c>
      <c r="B125" s="6">
        <v>15</v>
      </c>
      <c r="C125" s="1" t="s">
        <v>6</v>
      </c>
      <c r="D125" s="1" t="s">
        <v>149</v>
      </c>
      <c r="E125" s="14" t="s">
        <v>145</v>
      </c>
      <c r="F125" s="14"/>
      <c r="G125" s="7">
        <v>0</v>
      </c>
      <c r="H125" s="1"/>
      <c r="I125" s="1"/>
      <c r="J125" s="14" t="s">
        <v>164</v>
      </c>
      <c r="K125" s="14"/>
      <c r="L125" s="1" t="s">
        <v>146</v>
      </c>
      <c r="M125" s="14" t="s">
        <v>165</v>
      </c>
      <c r="N125" s="14"/>
    </row>
    <row r="126" spans="1:14" ht="15" customHeight="1" x14ac:dyDescent="0.2">
      <c r="A126" s="3" t="s">
        <v>166</v>
      </c>
      <c r="B126" s="4">
        <v>16</v>
      </c>
      <c r="C126" s="3" t="s">
        <v>6</v>
      </c>
      <c r="D126" s="3" t="s">
        <v>149</v>
      </c>
      <c r="E126" s="21" t="s">
        <v>145</v>
      </c>
      <c r="F126" s="21"/>
      <c r="G126" s="5">
        <v>0</v>
      </c>
      <c r="H126" s="3"/>
      <c r="I126" s="5">
        <v>2711.2730000000001</v>
      </c>
      <c r="J126" s="21" t="s">
        <v>166</v>
      </c>
      <c r="K126" s="21"/>
      <c r="L126" s="3" t="s">
        <v>146</v>
      </c>
      <c r="M126" s="21" t="s">
        <v>152</v>
      </c>
      <c r="N126" s="21"/>
    </row>
    <row r="127" spans="1:14" ht="15" customHeight="1" x14ac:dyDescent="0.2">
      <c r="A127" s="1" t="s">
        <v>167</v>
      </c>
      <c r="B127" s="6">
        <v>17</v>
      </c>
      <c r="C127" s="1" t="s">
        <v>6</v>
      </c>
      <c r="D127" s="1" t="s">
        <v>144</v>
      </c>
      <c r="E127" s="14" t="s">
        <v>145</v>
      </c>
      <c r="F127" s="14"/>
      <c r="G127" s="7">
        <v>0</v>
      </c>
      <c r="H127" s="1"/>
      <c r="I127" s="1"/>
      <c r="J127" s="14" t="s">
        <v>167</v>
      </c>
      <c r="K127" s="14"/>
      <c r="L127" s="1" t="s">
        <v>146</v>
      </c>
      <c r="M127" s="14"/>
      <c r="N127" s="14"/>
    </row>
    <row r="128" spans="1:14" ht="15" customHeight="1" x14ac:dyDescent="0.2">
      <c r="A128" s="3" t="s">
        <v>168</v>
      </c>
      <c r="B128" s="4">
        <v>18</v>
      </c>
      <c r="C128" s="3" t="s">
        <v>6</v>
      </c>
      <c r="D128" s="3" t="s">
        <v>144</v>
      </c>
      <c r="E128" s="21" t="s">
        <v>145</v>
      </c>
      <c r="F128" s="21"/>
      <c r="G128" s="5">
        <v>0</v>
      </c>
      <c r="H128" s="3"/>
      <c r="I128" s="5">
        <v>2846.9540000000002</v>
      </c>
      <c r="J128" s="21" t="s">
        <v>168</v>
      </c>
      <c r="K128" s="21"/>
      <c r="L128" s="3" t="s">
        <v>146</v>
      </c>
      <c r="M128" s="21" t="s">
        <v>147</v>
      </c>
      <c r="N128" s="21"/>
    </row>
    <row r="129" spans="1:14" ht="15" customHeight="1" x14ac:dyDescent="0.2">
      <c r="A129" s="1" t="s">
        <v>169</v>
      </c>
      <c r="B129" s="6">
        <v>19</v>
      </c>
      <c r="C129" s="1" t="s">
        <v>6</v>
      </c>
      <c r="D129" s="1" t="s">
        <v>149</v>
      </c>
      <c r="E129" s="14" t="s">
        <v>145</v>
      </c>
      <c r="F129" s="14"/>
      <c r="G129" s="7">
        <v>0</v>
      </c>
      <c r="H129" s="1"/>
      <c r="I129" s="1"/>
      <c r="J129" s="14" t="s">
        <v>169</v>
      </c>
      <c r="K129" s="14"/>
      <c r="L129" s="1" t="s">
        <v>146</v>
      </c>
      <c r="M129" s="14" t="s">
        <v>170</v>
      </c>
      <c r="N129" s="14"/>
    </row>
    <row r="130" spans="1:14" ht="15" customHeight="1" x14ac:dyDescent="0.2">
      <c r="A130" s="3" t="s">
        <v>171</v>
      </c>
      <c r="B130" s="4">
        <v>20</v>
      </c>
      <c r="C130" s="3" t="s">
        <v>6</v>
      </c>
      <c r="D130" s="3" t="s">
        <v>149</v>
      </c>
      <c r="E130" s="21" t="s">
        <v>145</v>
      </c>
      <c r="F130" s="21"/>
      <c r="G130" s="5">
        <v>0</v>
      </c>
      <c r="H130" s="3"/>
      <c r="I130" s="5">
        <v>2816.777</v>
      </c>
      <c r="J130" s="21" t="s">
        <v>171</v>
      </c>
      <c r="K130" s="21"/>
      <c r="L130" s="3" t="s">
        <v>146</v>
      </c>
      <c r="M130" s="21" t="s">
        <v>152</v>
      </c>
      <c r="N130" s="21"/>
    </row>
    <row r="131" spans="1:14" ht="15" customHeight="1" x14ac:dyDescent="0.2">
      <c r="A131" s="1" t="s">
        <v>172</v>
      </c>
      <c r="B131" s="6">
        <v>21</v>
      </c>
      <c r="C131" s="1" t="s">
        <v>6</v>
      </c>
      <c r="D131" s="1" t="s">
        <v>144</v>
      </c>
      <c r="E131" s="14" t="s">
        <v>145</v>
      </c>
      <c r="F131" s="14"/>
      <c r="G131" s="7">
        <v>0</v>
      </c>
      <c r="H131" s="1"/>
      <c r="I131" s="1"/>
      <c r="J131" s="14" t="s">
        <v>172</v>
      </c>
      <c r="K131" s="14"/>
      <c r="L131" s="1" t="s">
        <v>146</v>
      </c>
      <c r="M131" s="14"/>
      <c r="N131" s="14"/>
    </row>
    <row r="132" spans="1:14" ht="15" customHeight="1" x14ac:dyDescent="0.2">
      <c r="A132" s="3" t="s">
        <v>173</v>
      </c>
      <c r="B132" s="4">
        <v>22</v>
      </c>
      <c r="C132" s="3" t="s">
        <v>6</v>
      </c>
      <c r="D132" s="3" t="s">
        <v>144</v>
      </c>
      <c r="E132" s="21" t="s">
        <v>145</v>
      </c>
      <c r="F132" s="21"/>
      <c r="G132" s="5">
        <v>0</v>
      </c>
      <c r="H132" s="3"/>
      <c r="I132" s="5">
        <v>2924.404</v>
      </c>
      <c r="J132" s="21" t="s">
        <v>173</v>
      </c>
      <c r="K132" s="21"/>
      <c r="L132" s="3" t="s">
        <v>146</v>
      </c>
      <c r="M132" s="21" t="s">
        <v>147</v>
      </c>
      <c r="N132" s="21"/>
    </row>
    <row r="133" spans="1:14" ht="15" customHeight="1" x14ac:dyDescent="0.2">
      <c r="A133" s="1" t="s">
        <v>174</v>
      </c>
      <c r="B133" s="6">
        <v>23</v>
      </c>
      <c r="C133" s="1" t="s">
        <v>6</v>
      </c>
      <c r="D133" s="1" t="s">
        <v>149</v>
      </c>
      <c r="E133" s="14" t="s">
        <v>145</v>
      </c>
      <c r="F133" s="14"/>
      <c r="G133" s="7">
        <v>0</v>
      </c>
      <c r="H133" s="1"/>
      <c r="I133" s="1"/>
      <c r="J133" s="14" t="s">
        <v>174</v>
      </c>
      <c r="K133" s="14"/>
      <c r="L133" s="1" t="s">
        <v>146</v>
      </c>
      <c r="M133" s="14" t="s">
        <v>175</v>
      </c>
      <c r="N133" s="14"/>
    </row>
    <row r="134" spans="1:14" ht="15" customHeight="1" x14ac:dyDescent="0.2">
      <c r="A134" s="3" t="s">
        <v>176</v>
      </c>
      <c r="B134" s="4">
        <v>24</v>
      </c>
      <c r="C134" s="3" t="s">
        <v>6</v>
      </c>
      <c r="D134" s="3" t="s">
        <v>149</v>
      </c>
      <c r="E134" s="21" t="s">
        <v>145</v>
      </c>
      <c r="F134" s="21"/>
      <c r="G134" s="5">
        <v>0</v>
      </c>
      <c r="H134" s="3"/>
      <c r="I134" s="5">
        <v>2876.1329999999998</v>
      </c>
      <c r="J134" s="21" t="s">
        <v>176</v>
      </c>
      <c r="K134" s="21"/>
      <c r="L134" s="3" t="s">
        <v>146</v>
      </c>
      <c r="M134" s="21" t="s">
        <v>152</v>
      </c>
      <c r="N134" s="21"/>
    </row>
    <row r="135" spans="1:14" ht="15" customHeight="1" x14ac:dyDescent="0.2">
      <c r="A135" s="1" t="s">
        <v>177</v>
      </c>
      <c r="B135" s="6">
        <v>25</v>
      </c>
      <c r="C135" s="1" t="s">
        <v>6</v>
      </c>
      <c r="D135" s="1" t="s">
        <v>144</v>
      </c>
      <c r="E135" s="14" t="s">
        <v>145</v>
      </c>
      <c r="F135" s="14"/>
      <c r="G135" s="7">
        <v>0</v>
      </c>
      <c r="H135" s="1"/>
      <c r="I135" s="1"/>
      <c r="J135" s="14" t="s">
        <v>177</v>
      </c>
      <c r="K135" s="14"/>
      <c r="L135" s="1" t="s">
        <v>146</v>
      </c>
      <c r="M135" s="14"/>
      <c r="N135" s="14"/>
    </row>
    <row r="136" spans="1:14" ht="15" customHeight="1" x14ac:dyDescent="0.2">
      <c r="A136" s="3" t="s">
        <v>178</v>
      </c>
      <c r="B136" s="4">
        <v>26</v>
      </c>
      <c r="C136" s="3" t="s">
        <v>6</v>
      </c>
      <c r="D136" s="3" t="s">
        <v>144</v>
      </c>
      <c r="E136" s="21" t="s">
        <v>145</v>
      </c>
      <c r="F136" s="21"/>
      <c r="G136" s="5">
        <v>0</v>
      </c>
      <c r="H136" s="3"/>
      <c r="I136" s="5">
        <v>2978.558</v>
      </c>
      <c r="J136" s="21" t="s">
        <v>178</v>
      </c>
      <c r="K136" s="21"/>
      <c r="L136" s="3" t="s">
        <v>146</v>
      </c>
      <c r="M136" s="21" t="s">
        <v>147</v>
      </c>
      <c r="N136" s="21"/>
    </row>
    <row r="137" spans="1:14" ht="15" customHeight="1" x14ac:dyDescent="0.2">
      <c r="A137" s="1" t="s">
        <v>179</v>
      </c>
      <c r="B137" s="6">
        <v>27</v>
      </c>
      <c r="C137" s="1" t="s">
        <v>6</v>
      </c>
      <c r="D137" s="1" t="s">
        <v>149</v>
      </c>
      <c r="E137" s="14" t="s">
        <v>145</v>
      </c>
      <c r="F137" s="14"/>
      <c r="G137" s="7">
        <v>0</v>
      </c>
      <c r="H137" s="1"/>
      <c r="I137" s="1"/>
      <c r="J137" s="14" t="s">
        <v>179</v>
      </c>
      <c r="K137" s="14"/>
      <c r="L137" s="1" t="s">
        <v>146</v>
      </c>
      <c r="M137" s="14"/>
      <c r="N137" s="14"/>
    </row>
    <row r="138" spans="1:14" ht="15" customHeight="1" x14ac:dyDescent="0.2">
      <c r="A138" s="3" t="s">
        <v>180</v>
      </c>
      <c r="B138" s="4">
        <v>28</v>
      </c>
      <c r="C138" s="3" t="s">
        <v>6</v>
      </c>
      <c r="D138" s="3" t="s">
        <v>149</v>
      </c>
      <c r="E138" s="21" t="s">
        <v>145</v>
      </c>
      <c r="F138" s="21"/>
      <c r="G138" s="5">
        <v>0</v>
      </c>
      <c r="H138" s="3"/>
      <c r="I138" s="5">
        <v>2892.3809999999999</v>
      </c>
      <c r="J138" s="21" t="s">
        <v>180</v>
      </c>
      <c r="K138" s="21"/>
      <c r="L138" s="3" t="s">
        <v>146</v>
      </c>
      <c r="M138" s="21" t="s">
        <v>152</v>
      </c>
      <c r="N138" s="21"/>
    </row>
    <row r="139" spans="1:14" ht="15" customHeight="1" x14ac:dyDescent="0.2">
      <c r="A139" s="1" t="s">
        <v>181</v>
      </c>
      <c r="B139" s="6">
        <v>29</v>
      </c>
      <c r="C139" s="1" t="s">
        <v>6</v>
      </c>
      <c r="D139" s="1" t="s">
        <v>144</v>
      </c>
      <c r="E139" s="14" t="s">
        <v>145</v>
      </c>
      <c r="F139" s="14"/>
      <c r="G139" s="7">
        <v>0</v>
      </c>
      <c r="H139" s="1"/>
      <c r="I139" s="1"/>
      <c r="J139" s="14" t="s">
        <v>181</v>
      </c>
      <c r="K139" s="14"/>
      <c r="L139" s="1" t="s">
        <v>146</v>
      </c>
      <c r="M139" s="14" t="s">
        <v>182</v>
      </c>
      <c r="N139" s="14"/>
    </row>
    <row r="140" spans="1:14" ht="15" customHeight="1" x14ac:dyDescent="0.2">
      <c r="A140" s="3" t="s">
        <v>183</v>
      </c>
      <c r="B140" s="4">
        <v>30</v>
      </c>
      <c r="C140" s="3" t="s">
        <v>6</v>
      </c>
      <c r="D140" s="3" t="s">
        <v>149</v>
      </c>
      <c r="E140" s="21" t="s">
        <v>145</v>
      </c>
      <c r="F140" s="21"/>
      <c r="G140" s="5">
        <v>0</v>
      </c>
      <c r="H140" s="3"/>
      <c r="I140" s="5">
        <v>2853.3760000000002</v>
      </c>
      <c r="J140" s="21" t="s">
        <v>183</v>
      </c>
      <c r="K140" s="21"/>
      <c r="L140" s="3" t="s">
        <v>146</v>
      </c>
      <c r="M140" s="21" t="s">
        <v>152</v>
      </c>
      <c r="N140" s="21"/>
    </row>
    <row r="141" spans="1:14" ht="15" customHeight="1" x14ac:dyDescent="0.2">
      <c r="A141" s="1" t="s">
        <v>184</v>
      </c>
      <c r="B141" s="6">
        <v>31</v>
      </c>
      <c r="C141" s="1" t="s">
        <v>6</v>
      </c>
      <c r="D141" s="1" t="s">
        <v>144</v>
      </c>
      <c r="E141" s="14" t="s">
        <v>145</v>
      </c>
      <c r="F141" s="14"/>
      <c r="G141" s="7">
        <v>0</v>
      </c>
      <c r="H141" s="1"/>
      <c r="I141" s="1"/>
      <c r="J141" s="14" t="s">
        <v>184</v>
      </c>
      <c r="K141" s="14"/>
      <c r="L141" s="1" t="s">
        <v>146</v>
      </c>
      <c r="M141" s="14"/>
      <c r="N141" s="14"/>
    </row>
    <row r="142" spans="1:14" ht="15" customHeight="1" x14ac:dyDescent="0.2">
      <c r="A142" s="3" t="s">
        <v>185</v>
      </c>
      <c r="B142" s="4">
        <v>32</v>
      </c>
      <c r="C142" s="3" t="s">
        <v>6</v>
      </c>
      <c r="D142" s="3" t="s">
        <v>144</v>
      </c>
      <c r="E142" s="21" t="s">
        <v>145</v>
      </c>
      <c r="F142" s="21"/>
      <c r="G142" s="5">
        <v>0</v>
      </c>
      <c r="H142" s="3"/>
      <c r="I142" s="5">
        <v>2970.9839999999999</v>
      </c>
      <c r="J142" s="21" t="s">
        <v>185</v>
      </c>
      <c r="K142" s="21"/>
      <c r="L142" s="3" t="s">
        <v>146</v>
      </c>
      <c r="M142" s="21" t="s">
        <v>147</v>
      </c>
      <c r="N142" s="21"/>
    </row>
    <row r="143" spans="1:14" ht="15" customHeight="1" x14ac:dyDescent="0.2">
      <c r="A143" s="1" t="s">
        <v>186</v>
      </c>
      <c r="B143" s="6">
        <v>33</v>
      </c>
      <c r="C143" s="1" t="s">
        <v>6</v>
      </c>
      <c r="D143" s="1" t="s">
        <v>149</v>
      </c>
      <c r="E143" s="14" t="s">
        <v>145</v>
      </c>
      <c r="F143" s="14"/>
      <c r="G143" s="7">
        <v>0</v>
      </c>
      <c r="H143" s="1"/>
      <c r="I143" s="1"/>
      <c r="J143" s="14" t="s">
        <v>186</v>
      </c>
      <c r="K143" s="14"/>
      <c r="L143" s="1" t="s">
        <v>146</v>
      </c>
      <c r="M143" s="14" t="s">
        <v>187</v>
      </c>
      <c r="N143" s="14"/>
    </row>
    <row r="144" spans="1:14" ht="15" customHeight="1" x14ac:dyDescent="0.2">
      <c r="A144" s="3" t="s">
        <v>188</v>
      </c>
      <c r="B144" s="4">
        <v>34</v>
      </c>
      <c r="C144" s="3" t="s">
        <v>6</v>
      </c>
      <c r="D144" s="3" t="s">
        <v>144</v>
      </c>
      <c r="E144" s="21" t="s">
        <v>145</v>
      </c>
      <c r="F144" s="21"/>
      <c r="G144" s="5">
        <v>0</v>
      </c>
      <c r="H144" s="3"/>
      <c r="I144" s="5">
        <v>3062.201</v>
      </c>
      <c r="J144" s="21" t="s">
        <v>188</v>
      </c>
      <c r="K144" s="21"/>
      <c r="L144" s="3" t="s">
        <v>146</v>
      </c>
      <c r="M144" s="21" t="s">
        <v>147</v>
      </c>
      <c r="N144" s="21"/>
    </row>
    <row r="145" spans="1:14" ht="15" customHeight="1" x14ac:dyDescent="0.2">
      <c r="A145" s="1" t="s">
        <v>189</v>
      </c>
      <c r="B145" s="6">
        <v>35</v>
      </c>
      <c r="C145" s="1" t="s">
        <v>6</v>
      </c>
      <c r="D145" s="1" t="s">
        <v>149</v>
      </c>
      <c r="E145" s="14" t="s">
        <v>145</v>
      </c>
      <c r="F145" s="14"/>
      <c r="G145" s="7">
        <v>0</v>
      </c>
      <c r="H145" s="1"/>
      <c r="I145" s="1"/>
      <c r="J145" s="14" t="s">
        <v>189</v>
      </c>
      <c r="K145" s="14"/>
      <c r="L145" s="1" t="s">
        <v>146</v>
      </c>
      <c r="M145" s="14"/>
      <c r="N145" s="14"/>
    </row>
    <row r="146" spans="1:14" ht="15" customHeight="1" x14ac:dyDescent="0.2">
      <c r="A146" s="3" t="s">
        <v>189</v>
      </c>
      <c r="B146" s="4">
        <v>36</v>
      </c>
      <c r="C146" s="3" t="s">
        <v>6</v>
      </c>
      <c r="D146" s="3" t="s">
        <v>149</v>
      </c>
      <c r="E146" s="21" t="s">
        <v>145</v>
      </c>
      <c r="F146" s="21"/>
      <c r="G146" s="5">
        <v>0</v>
      </c>
      <c r="H146" s="3"/>
      <c r="I146" s="5">
        <v>2965.7620000000002</v>
      </c>
      <c r="J146" s="21" t="s">
        <v>189</v>
      </c>
      <c r="K146" s="21"/>
      <c r="L146" s="3" t="s">
        <v>146</v>
      </c>
      <c r="M146" s="21" t="s">
        <v>152</v>
      </c>
      <c r="N146" s="21"/>
    </row>
    <row r="147" spans="1:14" ht="15" customHeight="1" x14ac:dyDescent="0.2">
      <c r="A147" s="1" t="s">
        <v>190</v>
      </c>
      <c r="B147" s="6">
        <v>37</v>
      </c>
      <c r="C147" s="1" t="s">
        <v>6</v>
      </c>
      <c r="D147" s="1" t="s">
        <v>144</v>
      </c>
      <c r="E147" s="14" t="s">
        <v>145</v>
      </c>
      <c r="F147" s="14"/>
      <c r="G147" s="7">
        <v>0</v>
      </c>
      <c r="H147" s="1"/>
      <c r="I147" s="1"/>
      <c r="J147" s="14" t="s">
        <v>190</v>
      </c>
      <c r="K147" s="14"/>
      <c r="L147" s="1" t="s">
        <v>146</v>
      </c>
      <c r="M147" s="14"/>
      <c r="N147" s="14"/>
    </row>
    <row r="148" spans="1:14" ht="15" customHeight="1" x14ac:dyDescent="0.2">
      <c r="A148" s="3" t="s">
        <v>191</v>
      </c>
      <c r="B148" s="4">
        <v>38</v>
      </c>
      <c r="C148" s="3" t="s">
        <v>6</v>
      </c>
      <c r="D148" s="3" t="s">
        <v>144</v>
      </c>
      <c r="E148" s="21" t="s">
        <v>145</v>
      </c>
      <c r="F148" s="21"/>
      <c r="G148" s="5">
        <v>0</v>
      </c>
      <c r="H148" s="3"/>
      <c r="I148" s="5">
        <v>3063.7779999999998</v>
      </c>
      <c r="J148" s="21" t="s">
        <v>191</v>
      </c>
      <c r="K148" s="21"/>
      <c r="L148" s="3" t="s">
        <v>146</v>
      </c>
      <c r="M148" s="21" t="s">
        <v>147</v>
      </c>
      <c r="N148" s="21"/>
    </row>
    <row r="149" spans="1:14" ht="15" customHeight="1" x14ac:dyDescent="0.2">
      <c r="A149" s="1" t="s">
        <v>192</v>
      </c>
      <c r="B149" s="6">
        <v>39</v>
      </c>
      <c r="C149" s="1" t="s">
        <v>6</v>
      </c>
      <c r="D149" s="1" t="s">
        <v>149</v>
      </c>
      <c r="E149" s="14" t="s">
        <v>145</v>
      </c>
      <c r="F149" s="14"/>
      <c r="G149" s="7">
        <v>0</v>
      </c>
      <c r="H149" s="1"/>
      <c r="I149" s="1"/>
      <c r="J149" s="14" t="s">
        <v>192</v>
      </c>
      <c r="K149" s="14"/>
      <c r="L149" s="1" t="s">
        <v>146</v>
      </c>
      <c r="M149" s="14" t="s">
        <v>193</v>
      </c>
      <c r="N149" s="14"/>
    </row>
    <row r="150" spans="1:14" ht="15" customHeight="1" x14ac:dyDescent="0.2">
      <c r="A150" s="3" t="s">
        <v>194</v>
      </c>
      <c r="B150" s="4">
        <v>40</v>
      </c>
      <c r="C150" s="3" t="s">
        <v>6</v>
      </c>
      <c r="D150" s="3" t="s">
        <v>149</v>
      </c>
      <c r="E150" s="21" t="s">
        <v>145</v>
      </c>
      <c r="F150" s="21"/>
      <c r="G150" s="5">
        <v>0</v>
      </c>
      <c r="H150" s="3"/>
      <c r="I150" s="5">
        <v>3062.0830000000001</v>
      </c>
      <c r="J150" s="21" t="s">
        <v>194</v>
      </c>
      <c r="K150" s="21"/>
      <c r="L150" s="3" t="s">
        <v>146</v>
      </c>
      <c r="M150" s="21" t="s">
        <v>152</v>
      </c>
      <c r="N150" s="21"/>
    </row>
    <row r="151" spans="1:14" ht="15" customHeight="1" x14ac:dyDescent="0.2">
      <c r="A151" s="1" t="s">
        <v>195</v>
      </c>
      <c r="B151" s="6">
        <v>41</v>
      </c>
      <c r="C151" s="1" t="s">
        <v>6</v>
      </c>
      <c r="D151" s="1" t="s">
        <v>144</v>
      </c>
      <c r="E151" s="14" t="s">
        <v>145</v>
      </c>
      <c r="F151" s="14"/>
      <c r="G151" s="7">
        <v>0</v>
      </c>
      <c r="H151" s="1"/>
      <c r="I151" s="1"/>
      <c r="J151" s="14" t="s">
        <v>195</v>
      </c>
      <c r="K151" s="14"/>
      <c r="L151" s="1" t="s">
        <v>146</v>
      </c>
      <c r="M151" s="14" t="s">
        <v>196</v>
      </c>
      <c r="N151" s="14"/>
    </row>
    <row r="152" spans="1:14" ht="15" customHeight="1" x14ac:dyDescent="0.2">
      <c r="A152" s="3" t="s">
        <v>197</v>
      </c>
      <c r="B152" s="4">
        <v>42</v>
      </c>
      <c r="C152" s="3" t="s">
        <v>6</v>
      </c>
      <c r="D152" s="3" t="s">
        <v>149</v>
      </c>
      <c r="E152" s="21" t="s">
        <v>145</v>
      </c>
      <c r="F152" s="21"/>
      <c r="G152" s="5">
        <v>0</v>
      </c>
      <c r="H152" s="3"/>
      <c r="I152" s="5">
        <v>2861.4119999999998</v>
      </c>
      <c r="J152" s="21" t="s">
        <v>197</v>
      </c>
      <c r="K152" s="21"/>
      <c r="L152" s="3" t="s">
        <v>146</v>
      </c>
      <c r="M152" s="21" t="s">
        <v>152</v>
      </c>
      <c r="N152" s="21"/>
    </row>
    <row r="153" spans="1:14" ht="15" customHeight="1" x14ac:dyDescent="0.2">
      <c r="A153" s="1" t="s">
        <v>198</v>
      </c>
      <c r="B153" s="6">
        <v>43</v>
      </c>
      <c r="C153" s="1" t="s">
        <v>6</v>
      </c>
      <c r="D153" s="1" t="s">
        <v>144</v>
      </c>
      <c r="E153" s="14" t="s">
        <v>145</v>
      </c>
      <c r="F153" s="14"/>
      <c r="G153" s="7">
        <v>0</v>
      </c>
      <c r="H153" s="1"/>
      <c r="I153" s="1"/>
      <c r="J153" s="14" t="s">
        <v>198</v>
      </c>
      <c r="K153" s="14"/>
      <c r="L153" s="1" t="s">
        <v>146</v>
      </c>
      <c r="M153" s="14" t="s">
        <v>199</v>
      </c>
      <c r="N153" s="14"/>
    </row>
    <row r="154" spans="1:14" ht="20.100000000000001" customHeight="1" x14ac:dyDescent="0.2">
      <c r="A154" s="22" t="s">
        <v>200</v>
      </c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</row>
    <row r="155" spans="1:14" ht="20.100000000000001" customHeight="1" x14ac:dyDescent="0.2">
      <c r="A155" s="2" t="s">
        <v>140</v>
      </c>
      <c r="B155" s="2" t="s">
        <v>200</v>
      </c>
      <c r="C155" s="2" t="s">
        <v>134</v>
      </c>
      <c r="D155" s="2" t="s">
        <v>135</v>
      </c>
      <c r="E155" s="2" t="s">
        <v>201</v>
      </c>
      <c r="F155" s="2" t="s">
        <v>136</v>
      </c>
      <c r="G155" s="2" t="s">
        <v>137</v>
      </c>
      <c r="H155" s="2" t="s">
        <v>132</v>
      </c>
      <c r="I155" s="2" t="s">
        <v>202</v>
      </c>
      <c r="J155" s="2" t="s">
        <v>203</v>
      </c>
      <c r="K155" s="2" t="s">
        <v>204</v>
      </c>
      <c r="L155" s="2" t="s">
        <v>205</v>
      </c>
      <c r="M155" s="20" t="s">
        <v>142</v>
      </c>
      <c r="N155" s="20"/>
    </row>
    <row r="156" spans="1:14" ht="15" customHeight="1" x14ac:dyDescent="0.2">
      <c r="A156" s="3" t="s">
        <v>206</v>
      </c>
      <c r="B156" s="4">
        <v>1</v>
      </c>
      <c r="C156" s="3"/>
      <c r="D156" s="3" t="s">
        <v>207</v>
      </c>
      <c r="E156" s="3"/>
      <c r="F156" s="3"/>
      <c r="G156" s="3"/>
      <c r="H156" s="3"/>
      <c r="I156" s="8">
        <v>0</v>
      </c>
      <c r="J156" s="8">
        <v>0</v>
      </c>
      <c r="K156" s="8">
        <v>1000</v>
      </c>
      <c r="L156" s="8">
        <v>1000</v>
      </c>
      <c r="M156" s="21"/>
      <c r="N156" s="21"/>
    </row>
    <row r="157" spans="1:14" ht="15" customHeight="1" x14ac:dyDescent="0.2">
      <c r="A157" s="1" t="s">
        <v>143</v>
      </c>
      <c r="B157" s="6">
        <v>2</v>
      </c>
      <c r="C157" s="1" t="s">
        <v>6</v>
      </c>
      <c r="D157" s="1" t="s">
        <v>144</v>
      </c>
      <c r="E157" s="1" t="s">
        <v>208</v>
      </c>
      <c r="F157" s="1" t="s">
        <v>209</v>
      </c>
      <c r="G157" s="7">
        <v>2624.1460000000002</v>
      </c>
      <c r="H157" s="6">
        <v>2</v>
      </c>
      <c r="I157" s="9">
        <v>0</v>
      </c>
      <c r="J157" s="9">
        <v>0</v>
      </c>
      <c r="K157" s="9">
        <v>0</v>
      </c>
      <c r="L157" s="9">
        <v>1000</v>
      </c>
      <c r="M157" s="14" t="s">
        <v>147</v>
      </c>
      <c r="N157" s="14"/>
    </row>
    <row r="158" spans="1:14" ht="15" customHeight="1" x14ac:dyDescent="0.2">
      <c r="A158" s="3" t="s">
        <v>148</v>
      </c>
      <c r="B158" s="4">
        <v>3</v>
      </c>
      <c r="C158" s="3" t="s">
        <v>6</v>
      </c>
      <c r="D158" s="3" t="s">
        <v>149</v>
      </c>
      <c r="E158" s="3" t="s">
        <v>210</v>
      </c>
      <c r="F158" s="3" t="s">
        <v>209</v>
      </c>
      <c r="G158" s="5">
        <v>2651.05</v>
      </c>
      <c r="H158" s="4">
        <v>3</v>
      </c>
      <c r="I158" s="8">
        <v>0</v>
      </c>
      <c r="J158" s="8">
        <v>0</v>
      </c>
      <c r="K158" s="8">
        <v>269.04000000000002</v>
      </c>
      <c r="L158" s="8">
        <v>1269.04</v>
      </c>
      <c r="M158" s="21" t="s">
        <v>150</v>
      </c>
      <c r="N158" s="21"/>
    </row>
    <row r="159" spans="1:14" ht="15" customHeight="1" x14ac:dyDescent="0.2">
      <c r="A159" s="1" t="s">
        <v>151</v>
      </c>
      <c r="B159" s="6">
        <v>4</v>
      </c>
      <c r="C159" s="1" t="s">
        <v>6</v>
      </c>
      <c r="D159" s="1" t="s">
        <v>149</v>
      </c>
      <c r="E159" s="1" t="s">
        <v>208</v>
      </c>
      <c r="F159" s="1" t="s">
        <v>209</v>
      </c>
      <c r="G159" s="7">
        <v>2643.3919999999998</v>
      </c>
      <c r="H159" s="6">
        <v>4</v>
      </c>
      <c r="I159" s="9">
        <v>0</v>
      </c>
      <c r="J159" s="9">
        <v>0</v>
      </c>
      <c r="K159" s="9">
        <v>0</v>
      </c>
      <c r="L159" s="9">
        <v>1269.04</v>
      </c>
      <c r="M159" s="14" t="s">
        <v>152</v>
      </c>
      <c r="N159" s="14"/>
    </row>
    <row r="160" spans="1:14" ht="15" customHeight="1" x14ac:dyDescent="0.2">
      <c r="A160" s="3" t="s">
        <v>153</v>
      </c>
      <c r="B160" s="4">
        <v>5</v>
      </c>
      <c r="C160" s="3" t="s">
        <v>6</v>
      </c>
      <c r="D160" s="3" t="s">
        <v>144</v>
      </c>
      <c r="E160" s="3" t="s">
        <v>210</v>
      </c>
      <c r="F160" s="3" t="s">
        <v>209</v>
      </c>
      <c r="G160" s="5">
        <v>2643.076</v>
      </c>
      <c r="H160" s="4">
        <v>5</v>
      </c>
      <c r="I160" s="8">
        <v>0</v>
      </c>
      <c r="J160" s="8">
        <v>0</v>
      </c>
      <c r="K160" s="8">
        <v>3.16</v>
      </c>
      <c r="L160" s="8">
        <v>1272.2</v>
      </c>
      <c r="M160" s="21"/>
      <c r="N160" s="21"/>
    </row>
    <row r="161" spans="1:14" ht="15" customHeight="1" x14ac:dyDescent="0.2">
      <c r="A161" s="1" t="s">
        <v>154</v>
      </c>
      <c r="B161" s="6">
        <v>6</v>
      </c>
      <c r="C161" s="1" t="s">
        <v>6</v>
      </c>
      <c r="D161" s="1" t="s">
        <v>144</v>
      </c>
      <c r="E161" s="1" t="s">
        <v>208</v>
      </c>
      <c r="F161" s="1" t="s">
        <v>209</v>
      </c>
      <c r="G161" s="7">
        <v>2644.3470000000002</v>
      </c>
      <c r="H161" s="6">
        <v>6</v>
      </c>
      <c r="I161" s="9">
        <v>0</v>
      </c>
      <c r="J161" s="9">
        <v>0</v>
      </c>
      <c r="K161" s="9">
        <v>0</v>
      </c>
      <c r="L161" s="9">
        <v>1272.2</v>
      </c>
      <c r="M161" s="14" t="s">
        <v>147</v>
      </c>
      <c r="N161" s="14"/>
    </row>
    <row r="162" spans="1:14" ht="15" customHeight="1" x14ac:dyDescent="0.2">
      <c r="A162" s="3" t="s">
        <v>155</v>
      </c>
      <c r="B162" s="4">
        <v>7</v>
      </c>
      <c r="C162" s="3" t="s">
        <v>6</v>
      </c>
      <c r="D162" s="3" t="s">
        <v>149</v>
      </c>
      <c r="E162" s="3" t="s">
        <v>210</v>
      </c>
      <c r="F162" s="3" t="s">
        <v>209</v>
      </c>
      <c r="G162" s="5">
        <v>2685.183</v>
      </c>
      <c r="H162" s="4">
        <v>7</v>
      </c>
      <c r="I162" s="8">
        <v>0</v>
      </c>
      <c r="J162" s="8">
        <v>0</v>
      </c>
      <c r="K162" s="8">
        <v>408.36</v>
      </c>
      <c r="L162" s="8">
        <v>1680.56</v>
      </c>
      <c r="M162" s="21" t="s">
        <v>156</v>
      </c>
      <c r="N162" s="21"/>
    </row>
    <row r="163" spans="1:14" ht="15" customHeight="1" x14ac:dyDescent="0.2">
      <c r="A163" s="1" t="s">
        <v>157</v>
      </c>
      <c r="B163" s="6">
        <v>8</v>
      </c>
      <c r="C163" s="1" t="s">
        <v>6</v>
      </c>
      <c r="D163" s="1" t="s">
        <v>149</v>
      </c>
      <c r="E163" s="1" t="s">
        <v>208</v>
      </c>
      <c r="F163" s="1" t="s">
        <v>209</v>
      </c>
      <c r="G163" s="7">
        <v>2676.665</v>
      </c>
      <c r="H163" s="6">
        <v>8</v>
      </c>
      <c r="I163" s="9">
        <v>0</v>
      </c>
      <c r="J163" s="9">
        <v>0</v>
      </c>
      <c r="K163" s="9">
        <v>0</v>
      </c>
      <c r="L163" s="9">
        <v>1680.56</v>
      </c>
      <c r="M163" s="14" t="s">
        <v>152</v>
      </c>
      <c r="N163" s="14"/>
    </row>
    <row r="164" spans="1:14" ht="15" customHeight="1" x14ac:dyDescent="0.2">
      <c r="A164" s="3" t="s">
        <v>158</v>
      </c>
      <c r="B164" s="4">
        <v>9</v>
      </c>
      <c r="C164" s="3" t="s">
        <v>6</v>
      </c>
      <c r="D164" s="3" t="s">
        <v>144</v>
      </c>
      <c r="E164" s="3" t="s">
        <v>210</v>
      </c>
      <c r="F164" s="3" t="s">
        <v>209</v>
      </c>
      <c r="G164" s="5">
        <v>2677.5949999999998</v>
      </c>
      <c r="H164" s="4">
        <v>9</v>
      </c>
      <c r="I164" s="8">
        <v>0</v>
      </c>
      <c r="J164" s="8">
        <v>0</v>
      </c>
      <c r="K164" s="8">
        <v>-9.3000000000000007</v>
      </c>
      <c r="L164" s="8">
        <v>1671.26</v>
      </c>
      <c r="M164" s="21"/>
      <c r="N164" s="21"/>
    </row>
    <row r="165" spans="1:14" ht="15" customHeight="1" x14ac:dyDescent="0.2">
      <c r="A165" s="1" t="s">
        <v>159</v>
      </c>
      <c r="B165" s="6">
        <v>10</v>
      </c>
      <c r="C165" s="1" t="s">
        <v>6</v>
      </c>
      <c r="D165" s="1" t="s">
        <v>144</v>
      </c>
      <c r="E165" s="1" t="s">
        <v>208</v>
      </c>
      <c r="F165" s="1" t="s">
        <v>209</v>
      </c>
      <c r="G165" s="7">
        <v>2677.761</v>
      </c>
      <c r="H165" s="6">
        <v>10</v>
      </c>
      <c r="I165" s="9">
        <v>0</v>
      </c>
      <c r="J165" s="9">
        <v>0</v>
      </c>
      <c r="K165" s="9">
        <v>0</v>
      </c>
      <c r="L165" s="9">
        <v>1671.26</v>
      </c>
      <c r="M165" s="14" t="s">
        <v>147</v>
      </c>
      <c r="N165" s="14"/>
    </row>
    <row r="166" spans="1:14" ht="15" customHeight="1" x14ac:dyDescent="0.2">
      <c r="A166" s="3" t="s">
        <v>160</v>
      </c>
      <c r="B166" s="4">
        <v>11</v>
      </c>
      <c r="C166" s="3" t="s">
        <v>6</v>
      </c>
      <c r="D166" s="3" t="s">
        <v>149</v>
      </c>
      <c r="E166" s="3" t="s">
        <v>210</v>
      </c>
      <c r="F166" s="3" t="s">
        <v>209</v>
      </c>
      <c r="G166" s="5">
        <v>2681.846</v>
      </c>
      <c r="H166" s="4">
        <v>11</v>
      </c>
      <c r="I166" s="8">
        <v>0</v>
      </c>
      <c r="J166" s="8">
        <v>0</v>
      </c>
      <c r="K166" s="8">
        <v>40.85</v>
      </c>
      <c r="L166" s="8">
        <v>1712.11</v>
      </c>
      <c r="M166" s="21"/>
      <c r="N166" s="21"/>
    </row>
    <row r="167" spans="1:14" ht="15" customHeight="1" x14ac:dyDescent="0.2">
      <c r="A167" s="1" t="s">
        <v>161</v>
      </c>
      <c r="B167" s="6">
        <v>12</v>
      </c>
      <c r="C167" s="1" t="s">
        <v>6</v>
      </c>
      <c r="D167" s="1" t="s">
        <v>149</v>
      </c>
      <c r="E167" s="1" t="s">
        <v>208</v>
      </c>
      <c r="F167" s="1" t="s">
        <v>209</v>
      </c>
      <c r="G167" s="7">
        <v>2681.8809999999999</v>
      </c>
      <c r="H167" s="6">
        <v>12</v>
      </c>
      <c r="I167" s="9">
        <v>0</v>
      </c>
      <c r="J167" s="9">
        <v>0</v>
      </c>
      <c r="K167" s="9">
        <v>0</v>
      </c>
      <c r="L167" s="9">
        <v>1712.11</v>
      </c>
      <c r="M167" s="14" t="s">
        <v>152</v>
      </c>
      <c r="N167" s="14"/>
    </row>
    <row r="168" spans="1:14" ht="15" customHeight="1" x14ac:dyDescent="0.2">
      <c r="A168" s="3" t="s">
        <v>162</v>
      </c>
      <c r="B168" s="4">
        <v>13</v>
      </c>
      <c r="C168" s="3" t="s">
        <v>6</v>
      </c>
      <c r="D168" s="3" t="s">
        <v>144</v>
      </c>
      <c r="E168" s="3" t="s">
        <v>210</v>
      </c>
      <c r="F168" s="3" t="s">
        <v>209</v>
      </c>
      <c r="G168" s="5">
        <v>2695.9920000000002</v>
      </c>
      <c r="H168" s="4">
        <v>13</v>
      </c>
      <c r="I168" s="8">
        <v>0</v>
      </c>
      <c r="J168" s="8">
        <v>0</v>
      </c>
      <c r="K168" s="8">
        <v>-141.11000000000001</v>
      </c>
      <c r="L168" s="8">
        <v>1571</v>
      </c>
      <c r="M168" s="21"/>
      <c r="N168" s="21"/>
    </row>
    <row r="169" spans="1:14" ht="15" customHeight="1" x14ac:dyDescent="0.2">
      <c r="A169" s="1" t="s">
        <v>163</v>
      </c>
      <c r="B169" s="6">
        <v>14</v>
      </c>
      <c r="C169" s="1" t="s">
        <v>6</v>
      </c>
      <c r="D169" s="1" t="s">
        <v>144</v>
      </c>
      <c r="E169" s="1" t="s">
        <v>208</v>
      </c>
      <c r="F169" s="1" t="s">
        <v>209</v>
      </c>
      <c r="G169" s="7">
        <v>2695.837</v>
      </c>
      <c r="H169" s="6">
        <v>14</v>
      </c>
      <c r="I169" s="9">
        <v>0</v>
      </c>
      <c r="J169" s="9">
        <v>0</v>
      </c>
      <c r="K169" s="9">
        <v>0</v>
      </c>
      <c r="L169" s="9">
        <v>1571</v>
      </c>
      <c r="M169" s="14" t="s">
        <v>147</v>
      </c>
      <c r="N169" s="14"/>
    </row>
    <row r="170" spans="1:14" ht="15" customHeight="1" x14ac:dyDescent="0.2">
      <c r="A170" s="3" t="s">
        <v>164</v>
      </c>
      <c r="B170" s="4">
        <v>15</v>
      </c>
      <c r="C170" s="3" t="s">
        <v>6</v>
      </c>
      <c r="D170" s="3" t="s">
        <v>149</v>
      </c>
      <c r="E170" s="3" t="s">
        <v>210</v>
      </c>
      <c r="F170" s="3" t="s">
        <v>209</v>
      </c>
      <c r="G170" s="5">
        <v>2726.8229999999999</v>
      </c>
      <c r="H170" s="4">
        <v>15</v>
      </c>
      <c r="I170" s="8">
        <v>0</v>
      </c>
      <c r="J170" s="8">
        <v>0</v>
      </c>
      <c r="K170" s="8">
        <v>309.86</v>
      </c>
      <c r="L170" s="8">
        <v>1880.86</v>
      </c>
      <c r="M170" s="21" t="s">
        <v>165</v>
      </c>
      <c r="N170" s="21"/>
    </row>
    <row r="171" spans="1:14" ht="15" customHeight="1" x14ac:dyDescent="0.2">
      <c r="A171" s="1" t="s">
        <v>166</v>
      </c>
      <c r="B171" s="6">
        <v>16</v>
      </c>
      <c r="C171" s="1" t="s">
        <v>6</v>
      </c>
      <c r="D171" s="1" t="s">
        <v>149</v>
      </c>
      <c r="E171" s="1" t="s">
        <v>208</v>
      </c>
      <c r="F171" s="1" t="s">
        <v>209</v>
      </c>
      <c r="G171" s="7">
        <v>2741.549</v>
      </c>
      <c r="H171" s="6">
        <v>16</v>
      </c>
      <c r="I171" s="9">
        <v>0</v>
      </c>
      <c r="J171" s="9">
        <v>0</v>
      </c>
      <c r="K171" s="9">
        <v>0</v>
      </c>
      <c r="L171" s="9">
        <v>1880.86</v>
      </c>
      <c r="M171" s="14" t="s">
        <v>152</v>
      </c>
      <c r="N171" s="14"/>
    </row>
    <row r="172" spans="1:14" ht="15" customHeight="1" x14ac:dyDescent="0.2">
      <c r="A172" s="3" t="s">
        <v>167</v>
      </c>
      <c r="B172" s="4">
        <v>17</v>
      </c>
      <c r="C172" s="3" t="s">
        <v>6</v>
      </c>
      <c r="D172" s="3" t="s">
        <v>144</v>
      </c>
      <c r="E172" s="3" t="s">
        <v>210</v>
      </c>
      <c r="F172" s="3" t="s">
        <v>209</v>
      </c>
      <c r="G172" s="5">
        <v>2801.17</v>
      </c>
      <c r="H172" s="4">
        <v>17</v>
      </c>
      <c r="I172" s="8">
        <v>0</v>
      </c>
      <c r="J172" s="8">
        <v>0</v>
      </c>
      <c r="K172" s="8">
        <v>-596.21</v>
      </c>
      <c r="L172" s="8">
        <v>1284.6500000000001</v>
      </c>
      <c r="M172" s="21"/>
      <c r="N172" s="21"/>
    </row>
    <row r="173" spans="1:14" ht="15" customHeight="1" x14ac:dyDescent="0.2">
      <c r="A173" s="1" t="s">
        <v>168</v>
      </c>
      <c r="B173" s="6">
        <v>18</v>
      </c>
      <c r="C173" s="1" t="s">
        <v>6</v>
      </c>
      <c r="D173" s="1" t="s">
        <v>144</v>
      </c>
      <c r="E173" s="1" t="s">
        <v>208</v>
      </c>
      <c r="F173" s="1" t="s">
        <v>209</v>
      </c>
      <c r="G173" s="7">
        <v>2800.9279999999999</v>
      </c>
      <c r="H173" s="6">
        <v>18</v>
      </c>
      <c r="I173" s="9">
        <v>0</v>
      </c>
      <c r="J173" s="9">
        <v>0</v>
      </c>
      <c r="K173" s="9">
        <v>0</v>
      </c>
      <c r="L173" s="9">
        <v>1284.6500000000001</v>
      </c>
      <c r="M173" s="14" t="s">
        <v>147</v>
      </c>
      <c r="N173" s="14"/>
    </row>
    <row r="174" spans="1:14" ht="15" customHeight="1" x14ac:dyDescent="0.2">
      <c r="A174" s="3" t="s">
        <v>169</v>
      </c>
      <c r="B174" s="4">
        <v>19</v>
      </c>
      <c r="C174" s="3" t="s">
        <v>6</v>
      </c>
      <c r="D174" s="3" t="s">
        <v>149</v>
      </c>
      <c r="E174" s="3" t="s">
        <v>210</v>
      </c>
      <c r="F174" s="3" t="s">
        <v>209</v>
      </c>
      <c r="G174" s="5">
        <v>2846.971</v>
      </c>
      <c r="H174" s="4">
        <v>19</v>
      </c>
      <c r="I174" s="8">
        <v>0</v>
      </c>
      <c r="J174" s="8">
        <v>0</v>
      </c>
      <c r="K174" s="8">
        <v>460.43</v>
      </c>
      <c r="L174" s="8">
        <v>1745.08</v>
      </c>
      <c r="M174" s="21" t="s">
        <v>170</v>
      </c>
      <c r="N174" s="21"/>
    </row>
    <row r="175" spans="1:14" ht="15" customHeight="1" x14ac:dyDescent="0.2">
      <c r="A175" s="1" t="s">
        <v>171</v>
      </c>
      <c r="B175" s="6">
        <v>20</v>
      </c>
      <c r="C175" s="1" t="s">
        <v>6</v>
      </c>
      <c r="D175" s="1" t="s">
        <v>149</v>
      </c>
      <c r="E175" s="1" t="s">
        <v>208</v>
      </c>
      <c r="F175" s="1" t="s">
        <v>209</v>
      </c>
      <c r="G175" s="7">
        <v>2854.3939999999998</v>
      </c>
      <c r="H175" s="6">
        <v>20</v>
      </c>
      <c r="I175" s="9">
        <v>0</v>
      </c>
      <c r="J175" s="9">
        <v>0</v>
      </c>
      <c r="K175" s="9">
        <v>0</v>
      </c>
      <c r="L175" s="9">
        <v>1745.08</v>
      </c>
      <c r="M175" s="14" t="s">
        <v>152</v>
      </c>
      <c r="N175" s="14"/>
    </row>
    <row r="176" spans="1:14" ht="15" customHeight="1" x14ac:dyDescent="0.2">
      <c r="A176" s="3" t="s">
        <v>172</v>
      </c>
      <c r="B176" s="4">
        <v>21</v>
      </c>
      <c r="C176" s="3" t="s">
        <v>6</v>
      </c>
      <c r="D176" s="3" t="s">
        <v>144</v>
      </c>
      <c r="E176" s="3" t="s">
        <v>210</v>
      </c>
      <c r="F176" s="3" t="s">
        <v>209</v>
      </c>
      <c r="G176" s="5">
        <v>2881.3829999999998</v>
      </c>
      <c r="H176" s="4">
        <v>21</v>
      </c>
      <c r="I176" s="8">
        <v>0</v>
      </c>
      <c r="J176" s="8">
        <v>0</v>
      </c>
      <c r="K176" s="8">
        <v>-269.89</v>
      </c>
      <c r="L176" s="8">
        <v>1475.19</v>
      </c>
      <c r="M176" s="21"/>
      <c r="N176" s="21"/>
    </row>
    <row r="177" spans="1:14" ht="15" customHeight="1" x14ac:dyDescent="0.2">
      <c r="A177" s="1" t="s">
        <v>173</v>
      </c>
      <c r="B177" s="6">
        <v>22</v>
      </c>
      <c r="C177" s="1" t="s">
        <v>6</v>
      </c>
      <c r="D177" s="1" t="s">
        <v>144</v>
      </c>
      <c r="E177" s="1" t="s">
        <v>208</v>
      </c>
      <c r="F177" s="1" t="s">
        <v>209</v>
      </c>
      <c r="G177" s="7">
        <v>2881.328</v>
      </c>
      <c r="H177" s="6">
        <v>22</v>
      </c>
      <c r="I177" s="9">
        <v>0</v>
      </c>
      <c r="J177" s="9">
        <v>0</v>
      </c>
      <c r="K177" s="9">
        <v>0</v>
      </c>
      <c r="L177" s="9">
        <v>1475.19</v>
      </c>
      <c r="M177" s="14" t="s">
        <v>147</v>
      </c>
      <c r="N177" s="14"/>
    </row>
    <row r="178" spans="1:14" ht="15" customHeight="1" x14ac:dyDescent="0.2">
      <c r="A178" s="3" t="s">
        <v>174</v>
      </c>
      <c r="B178" s="4">
        <v>23</v>
      </c>
      <c r="C178" s="3" t="s">
        <v>6</v>
      </c>
      <c r="D178" s="3" t="s">
        <v>149</v>
      </c>
      <c r="E178" s="3" t="s">
        <v>210</v>
      </c>
      <c r="F178" s="3" t="s">
        <v>209</v>
      </c>
      <c r="G178" s="5">
        <v>2924.415</v>
      </c>
      <c r="H178" s="4">
        <v>23</v>
      </c>
      <c r="I178" s="8">
        <v>0</v>
      </c>
      <c r="J178" s="8">
        <v>0</v>
      </c>
      <c r="K178" s="8">
        <v>430.87</v>
      </c>
      <c r="L178" s="8">
        <v>1906.06</v>
      </c>
      <c r="M178" s="21" t="s">
        <v>175</v>
      </c>
      <c r="N178" s="21"/>
    </row>
    <row r="179" spans="1:14" ht="15" customHeight="1" x14ac:dyDescent="0.2">
      <c r="A179" s="1" t="s">
        <v>176</v>
      </c>
      <c r="B179" s="6">
        <v>24</v>
      </c>
      <c r="C179" s="1" t="s">
        <v>6</v>
      </c>
      <c r="D179" s="1" t="s">
        <v>149</v>
      </c>
      <c r="E179" s="1" t="s">
        <v>208</v>
      </c>
      <c r="F179" s="1" t="s">
        <v>209</v>
      </c>
      <c r="G179" s="7">
        <v>2915.663</v>
      </c>
      <c r="H179" s="6">
        <v>24</v>
      </c>
      <c r="I179" s="9">
        <v>0</v>
      </c>
      <c r="J179" s="9">
        <v>0</v>
      </c>
      <c r="K179" s="9">
        <v>0</v>
      </c>
      <c r="L179" s="9">
        <v>1906.06</v>
      </c>
      <c r="M179" s="14" t="s">
        <v>152</v>
      </c>
      <c r="N179" s="14"/>
    </row>
    <row r="180" spans="1:14" ht="15" customHeight="1" x14ac:dyDescent="0.2">
      <c r="A180" s="3" t="s">
        <v>177</v>
      </c>
      <c r="B180" s="4">
        <v>25</v>
      </c>
      <c r="C180" s="3" t="s">
        <v>6</v>
      </c>
      <c r="D180" s="3" t="s">
        <v>144</v>
      </c>
      <c r="E180" s="3" t="s">
        <v>210</v>
      </c>
      <c r="F180" s="3" t="s">
        <v>209</v>
      </c>
      <c r="G180" s="5">
        <v>2942.1309999999999</v>
      </c>
      <c r="H180" s="4">
        <v>25</v>
      </c>
      <c r="I180" s="8">
        <v>0</v>
      </c>
      <c r="J180" s="8">
        <v>0</v>
      </c>
      <c r="K180" s="8">
        <v>-264.68</v>
      </c>
      <c r="L180" s="8">
        <v>1641.38</v>
      </c>
      <c r="M180" s="21"/>
      <c r="N180" s="21"/>
    </row>
    <row r="181" spans="1:14" ht="15" customHeight="1" x14ac:dyDescent="0.2">
      <c r="A181" s="1" t="s">
        <v>178</v>
      </c>
      <c r="B181" s="6">
        <v>26</v>
      </c>
      <c r="C181" s="1" t="s">
        <v>6</v>
      </c>
      <c r="D181" s="1" t="s">
        <v>144</v>
      </c>
      <c r="E181" s="1" t="s">
        <v>208</v>
      </c>
      <c r="F181" s="1" t="s">
        <v>209</v>
      </c>
      <c r="G181" s="7">
        <v>2942.1390000000001</v>
      </c>
      <c r="H181" s="6">
        <v>26</v>
      </c>
      <c r="I181" s="9">
        <v>0</v>
      </c>
      <c r="J181" s="9">
        <v>0</v>
      </c>
      <c r="K181" s="9">
        <v>0</v>
      </c>
      <c r="L181" s="9">
        <v>1641.38</v>
      </c>
      <c r="M181" s="14" t="s">
        <v>147</v>
      </c>
      <c r="N181" s="14"/>
    </row>
    <row r="182" spans="1:14" ht="15" customHeight="1" x14ac:dyDescent="0.2">
      <c r="A182" s="3" t="s">
        <v>179</v>
      </c>
      <c r="B182" s="4">
        <v>27</v>
      </c>
      <c r="C182" s="3" t="s">
        <v>6</v>
      </c>
      <c r="D182" s="3" t="s">
        <v>149</v>
      </c>
      <c r="E182" s="3" t="s">
        <v>210</v>
      </c>
      <c r="F182" s="3" t="s">
        <v>209</v>
      </c>
      <c r="G182" s="5">
        <v>2931.8</v>
      </c>
      <c r="H182" s="4">
        <v>27</v>
      </c>
      <c r="I182" s="8">
        <v>0</v>
      </c>
      <c r="J182" s="8">
        <v>0</v>
      </c>
      <c r="K182" s="8">
        <v>-103.39</v>
      </c>
      <c r="L182" s="8">
        <v>1537.99</v>
      </c>
      <c r="M182" s="21"/>
      <c r="N182" s="21"/>
    </row>
    <row r="183" spans="1:14" ht="15" customHeight="1" x14ac:dyDescent="0.2">
      <c r="A183" s="1" t="s">
        <v>180</v>
      </c>
      <c r="B183" s="6">
        <v>28</v>
      </c>
      <c r="C183" s="1" t="s">
        <v>6</v>
      </c>
      <c r="D183" s="1" t="s">
        <v>149</v>
      </c>
      <c r="E183" s="1" t="s">
        <v>208</v>
      </c>
      <c r="F183" s="1" t="s">
        <v>209</v>
      </c>
      <c r="G183" s="7">
        <v>2931.8429999999998</v>
      </c>
      <c r="H183" s="6">
        <v>28</v>
      </c>
      <c r="I183" s="9">
        <v>0</v>
      </c>
      <c r="J183" s="9">
        <v>0</v>
      </c>
      <c r="K183" s="9">
        <v>0</v>
      </c>
      <c r="L183" s="9">
        <v>1537.99</v>
      </c>
      <c r="M183" s="14" t="s">
        <v>152</v>
      </c>
      <c r="N183" s="14"/>
    </row>
    <row r="184" spans="1:14" ht="15" customHeight="1" x14ac:dyDescent="0.2">
      <c r="A184" s="3" t="s">
        <v>181</v>
      </c>
      <c r="B184" s="4">
        <v>29</v>
      </c>
      <c r="C184" s="3" t="s">
        <v>6</v>
      </c>
      <c r="D184" s="3" t="s">
        <v>144</v>
      </c>
      <c r="E184" s="3" t="s">
        <v>210</v>
      </c>
      <c r="F184" s="3" t="s">
        <v>209</v>
      </c>
      <c r="G184" s="5">
        <v>2892.377</v>
      </c>
      <c r="H184" s="4">
        <v>29</v>
      </c>
      <c r="I184" s="8">
        <v>0</v>
      </c>
      <c r="J184" s="8">
        <v>0</v>
      </c>
      <c r="K184" s="8">
        <v>394.66</v>
      </c>
      <c r="L184" s="8">
        <v>1932.65</v>
      </c>
      <c r="M184" s="21" t="s">
        <v>182</v>
      </c>
      <c r="N184" s="21"/>
    </row>
    <row r="185" spans="1:14" ht="15" customHeight="1" x14ac:dyDescent="0.2">
      <c r="A185" s="1" t="s">
        <v>183</v>
      </c>
      <c r="B185" s="6">
        <v>30</v>
      </c>
      <c r="C185" s="1" t="s">
        <v>6</v>
      </c>
      <c r="D185" s="1" t="s">
        <v>149</v>
      </c>
      <c r="E185" s="1" t="s">
        <v>208</v>
      </c>
      <c r="F185" s="1" t="s">
        <v>209</v>
      </c>
      <c r="G185" s="7">
        <v>2899.1840000000002</v>
      </c>
      <c r="H185" s="6">
        <v>30</v>
      </c>
      <c r="I185" s="9">
        <v>0</v>
      </c>
      <c r="J185" s="9">
        <v>0</v>
      </c>
      <c r="K185" s="9">
        <v>0</v>
      </c>
      <c r="L185" s="9">
        <v>1932.65</v>
      </c>
      <c r="M185" s="14" t="s">
        <v>152</v>
      </c>
      <c r="N185" s="14"/>
    </row>
    <row r="186" spans="1:14" ht="15" customHeight="1" x14ac:dyDescent="0.2">
      <c r="A186" s="3" t="s">
        <v>184</v>
      </c>
      <c r="B186" s="4">
        <v>31</v>
      </c>
      <c r="C186" s="3" t="s">
        <v>6</v>
      </c>
      <c r="D186" s="3" t="s">
        <v>144</v>
      </c>
      <c r="E186" s="3" t="s">
        <v>210</v>
      </c>
      <c r="F186" s="3" t="s">
        <v>209</v>
      </c>
      <c r="G186" s="5">
        <v>2925.1590000000001</v>
      </c>
      <c r="H186" s="4">
        <v>31</v>
      </c>
      <c r="I186" s="8">
        <v>0</v>
      </c>
      <c r="J186" s="8">
        <v>0</v>
      </c>
      <c r="K186" s="8">
        <v>-259.75</v>
      </c>
      <c r="L186" s="8">
        <v>1672.9</v>
      </c>
      <c r="M186" s="21"/>
      <c r="N186" s="21"/>
    </row>
    <row r="187" spans="1:14" ht="15" customHeight="1" x14ac:dyDescent="0.2">
      <c r="A187" s="1" t="s">
        <v>185</v>
      </c>
      <c r="B187" s="6">
        <v>32</v>
      </c>
      <c r="C187" s="1" t="s">
        <v>6</v>
      </c>
      <c r="D187" s="1" t="s">
        <v>144</v>
      </c>
      <c r="E187" s="1" t="s">
        <v>208</v>
      </c>
      <c r="F187" s="1" t="s">
        <v>209</v>
      </c>
      <c r="G187" s="7">
        <v>2924.9349999999999</v>
      </c>
      <c r="H187" s="6">
        <v>32</v>
      </c>
      <c r="I187" s="9">
        <v>0</v>
      </c>
      <c r="J187" s="9">
        <v>0</v>
      </c>
      <c r="K187" s="9">
        <v>0</v>
      </c>
      <c r="L187" s="9">
        <v>1672.9</v>
      </c>
      <c r="M187" s="14" t="s">
        <v>147</v>
      </c>
      <c r="N187" s="14"/>
    </row>
    <row r="188" spans="1:14" ht="15" customHeight="1" x14ac:dyDescent="0.2">
      <c r="A188" s="3" t="s">
        <v>186</v>
      </c>
      <c r="B188" s="4">
        <v>33</v>
      </c>
      <c r="C188" s="3" t="s">
        <v>6</v>
      </c>
      <c r="D188" s="3" t="s">
        <v>149</v>
      </c>
      <c r="E188" s="3" t="s">
        <v>210</v>
      </c>
      <c r="F188" s="3" t="s">
        <v>209</v>
      </c>
      <c r="G188" s="5">
        <v>2970.9879999999998</v>
      </c>
      <c r="H188" s="4">
        <v>33</v>
      </c>
      <c r="I188" s="8">
        <v>0</v>
      </c>
      <c r="J188" s="8">
        <v>0</v>
      </c>
      <c r="K188" s="8">
        <v>460.53</v>
      </c>
      <c r="L188" s="8">
        <v>2133.4299999999998</v>
      </c>
      <c r="M188" s="21" t="s">
        <v>187</v>
      </c>
      <c r="N188" s="21"/>
    </row>
    <row r="189" spans="1:14" ht="15" customHeight="1" x14ac:dyDescent="0.2">
      <c r="A189" s="1" t="s">
        <v>188</v>
      </c>
      <c r="B189" s="6">
        <v>34</v>
      </c>
      <c r="C189" s="1" t="s">
        <v>6</v>
      </c>
      <c r="D189" s="1" t="s">
        <v>144</v>
      </c>
      <c r="E189" s="1" t="s">
        <v>208</v>
      </c>
      <c r="F189" s="1" t="s">
        <v>209</v>
      </c>
      <c r="G189" s="7">
        <v>3023.5129999999999</v>
      </c>
      <c r="H189" s="6">
        <v>34</v>
      </c>
      <c r="I189" s="9">
        <v>0</v>
      </c>
      <c r="J189" s="9">
        <v>0</v>
      </c>
      <c r="K189" s="9">
        <v>0</v>
      </c>
      <c r="L189" s="9">
        <v>2133.4299999999998</v>
      </c>
      <c r="M189" s="14" t="s">
        <v>147</v>
      </c>
      <c r="N189" s="14"/>
    </row>
    <row r="190" spans="1:14" ht="15" customHeight="1" x14ac:dyDescent="0.2">
      <c r="A190" s="3" t="s">
        <v>189</v>
      </c>
      <c r="B190" s="4">
        <v>35</v>
      </c>
      <c r="C190" s="3" t="s">
        <v>6</v>
      </c>
      <c r="D190" s="3" t="s">
        <v>149</v>
      </c>
      <c r="E190" s="3" t="s">
        <v>210</v>
      </c>
      <c r="F190" s="3" t="s">
        <v>209</v>
      </c>
      <c r="G190" s="5">
        <v>3006.96</v>
      </c>
      <c r="H190" s="4">
        <v>35</v>
      </c>
      <c r="I190" s="8">
        <v>0</v>
      </c>
      <c r="J190" s="8">
        <v>0</v>
      </c>
      <c r="K190" s="8">
        <v>-165.53</v>
      </c>
      <c r="L190" s="8">
        <v>1967.9</v>
      </c>
      <c r="M190" s="21"/>
      <c r="N190" s="21"/>
    </row>
    <row r="191" spans="1:14" ht="15" customHeight="1" x14ac:dyDescent="0.2">
      <c r="A191" s="1" t="s">
        <v>189</v>
      </c>
      <c r="B191" s="6">
        <v>36</v>
      </c>
      <c r="C191" s="1" t="s">
        <v>6</v>
      </c>
      <c r="D191" s="1" t="s">
        <v>149</v>
      </c>
      <c r="E191" s="1" t="s">
        <v>208</v>
      </c>
      <c r="F191" s="1" t="s">
        <v>209</v>
      </c>
      <c r="G191" s="7">
        <v>3006.96</v>
      </c>
      <c r="H191" s="6">
        <v>36</v>
      </c>
      <c r="I191" s="9">
        <v>0</v>
      </c>
      <c r="J191" s="9">
        <v>0</v>
      </c>
      <c r="K191" s="9">
        <v>0</v>
      </c>
      <c r="L191" s="9">
        <v>1967.9</v>
      </c>
      <c r="M191" s="14" t="s">
        <v>152</v>
      </c>
      <c r="N191" s="14"/>
    </row>
    <row r="192" spans="1:14" ht="15" customHeight="1" x14ac:dyDescent="0.2">
      <c r="A192" s="3" t="s">
        <v>190</v>
      </c>
      <c r="B192" s="4">
        <v>37</v>
      </c>
      <c r="C192" s="3" t="s">
        <v>6</v>
      </c>
      <c r="D192" s="3" t="s">
        <v>144</v>
      </c>
      <c r="E192" s="3" t="s">
        <v>210</v>
      </c>
      <c r="F192" s="3" t="s">
        <v>209</v>
      </c>
      <c r="G192" s="5">
        <v>3028.6219999999998</v>
      </c>
      <c r="H192" s="4">
        <v>37</v>
      </c>
      <c r="I192" s="8">
        <v>0</v>
      </c>
      <c r="J192" s="8">
        <v>0</v>
      </c>
      <c r="K192" s="8">
        <v>-216.62</v>
      </c>
      <c r="L192" s="8">
        <v>1751.28</v>
      </c>
      <c r="M192" s="21"/>
      <c r="N192" s="21"/>
    </row>
    <row r="193" spans="1:14" ht="15" customHeight="1" x14ac:dyDescent="0.2">
      <c r="A193" s="1" t="s">
        <v>191</v>
      </c>
      <c r="B193" s="6">
        <v>38</v>
      </c>
      <c r="C193" s="1" t="s">
        <v>6</v>
      </c>
      <c r="D193" s="1" t="s">
        <v>144</v>
      </c>
      <c r="E193" s="1" t="s">
        <v>208</v>
      </c>
      <c r="F193" s="1" t="s">
        <v>209</v>
      </c>
      <c r="G193" s="7">
        <v>3028.28</v>
      </c>
      <c r="H193" s="6">
        <v>38</v>
      </c>
      <c r="I193" s="9">
        <v>0</v>
      </c>
      <c r="J193" s="9">
        <v>0</v>
      </c>
      <c r="K193" s="9">
        <v>0</v>
      </c>
      <c r="L193" s="9">
        <v>1751.28</v>
      </c>
      <c r="M193" s="14" t="s">
        <v>147</v>
      </c>
      <c r="N193" s="14"/>
    </row>
    <row r="194" spans="1:14" ht="15" customHeight="1" x14ac:dyDescent="0.2">
      <c r="A194" s="3" t="s">
        <v>192</v>
      </c>
      <c r="B194" s="4">
        <v>39</v>
      </c>
      <c r="C194" s="3" t="s">
        <v>6</v>
      </c>
      <c r="D194" s="3" t="s">
        <v>149</v>
      </c>
      <c r="E194" s="3" t="s">
        <v>210</v>
      </c>
      <c r="F194" s="3" t="s">
        <v>209</v>
      </c>
      <c r="G194" s="5">
        <v>3063.779</v>
      </c>
      <c r="H194" s="4">
        <v>39</v>
      </c>
      <c r="I194" s="8">
        <v>0</v>
      </c>
      <c r="J194" s="8">
        <v>0</v>
      </c>
      <c r="K194" s="8">
        <v>354.99</v>
      </c>
      <c r="L194" s="8">
        <v>2106.27</v>
      </c>
      <c r="M194" s="21" t="s">
        <v>193</v>
      </c>
      <c r="N194" s="21"/>
    </row>
    <row r="195" spans="1:14" ht="15" customHeight="1" x14ac:dyDescent="0.2">
      <c r="A195" s="1" t="s">
        <v>194</v>
      </c>
      <c r="B195" s="6">
        <v>40</v>
      </c>
      <c r="C195" s="1" t="s">
        <v>6</v>
      </c>
      <c r="D195" s="1" t="s">
        <v>149</v>
      </c>
      <c r="E195" s="1" t="s">
        <v>208</v>
      </c>
      <c r="F195" s="1" t="s">
        <v>209</v>
      </c>
      <c r="G195" s="7">
        <v>3114.098</v>
      </c>
      <c r="H195" s="6">
        <v>40</v>
      </c>
      <c r="I195" s="9">
        <v>0</v>
      </c>
      <c r="J195" s="9">
        <v>0</v>
      </c>
      <c r="K195" s="9">
        <v>0</v>
      </c>
      <c r="L195" s="9">
        <v>2106.27</v>
      </c>
      <c r="M195" s="14" t="s">
        <v>152</v>
      </c>
      <c r="N195" s="14"/>
    </row>
    <row r="196" spans="1:14" ht="15" customHeight="1" x14ac:dyDescent="0.2">
      <c r="A196" s="3" t="s">
        <v>195</v>
      </c>
      <c r="B196" s="4">
        <v>41</v>
      </c>
      <c r="C196" s="3" t="s">
        <v>6</v>
      </c>
      <c r="D196" s="3" t="s">
        <v>144</v>
      </c>
      <c r="E196" s="3" t="s">
        <v>210</v>
      </c>
      <c r="F196" s="3" t="s">
        <v>209</v>
      </c>
      <c r="G196" s="5">
        <v>3062.0749999999998</v>
      </c>
      <c r="H196" s="4">
        <v>41</v>
      </c>
      <c r="I196" s="8">
        <v>0</v>
      </c>
      <c r="J196" s="8">
        <v>0</v>
      </c>
      <c r="K196" s="8">
        <v>520.23</v>
      </c>
      <c r="L196" s="8">
        <v>2626.5</v>
      </c>
      <c r="M196" s="21" t="s">
        <v>196</v>
      </c>
      <c r="N196" s="21"/>
    </row>
    <row r="197" spans="1:14" ht="15" customHeight="1" x14ac:dyDescent="0.2">
      <c r="A197" s="1" t="s">
        <v>197</v>
      </c>
      <c r="B197" s="6">
        <v>42</v>
      </c>
      <c r="C197" s="1" t="s">
        <v>6</v>
      </c>
      <c r="D197" s="1" t="s">
        <v>149</v>
      </c>
      <c r="E197" s="1" t="s">
        <v>208</v>
      </c>
      <c r="F197" s="1" t="s">
        <v>209</v>
      </c>
      <c r="G197" s="7">
        <v>2987.5590000000002</v>
      </c>
      <c r="H197" s="6">
        <v>42</v>
      </c>
      <c r="I197" s="9">
        <v>0</v>
      </c>
      <c r="J197" s="9">
        <v>0</v>
      </c>
      <c r="K197" s="9">
        <v>0</v>
      </c>
      <c r="L197" s="9">
        <v>2626.5</v>
      </c>
      <c r="M197" s="14" t="s">
        <v>152</v>
      </c>
      <c r="N197" s="14"/>
    </row>
    <row r="198" spans="1:14" ht="15" customHeight="1" x14ac:dyDescent="0.2">
      <c r="A198" s="3" t="s">
        <v>198</v>
      </c>
      <c r="B198" s="4">
        <v>43</v>
      </c>
      <c r="C198" s="3" t="s">
        <v>6</v>
      </c>
      <c r="D198" s="3" t="s">
        <v>144</v>
      </c>
      <c r="E198" s="3" t="s">
        <v>210</v>
      </c>
      <c r="F198" s="3" t="s">
        <v>209</v>
      </c>
      <c r="G198" s="5">
        <v>3251.9630000000002</v>
      </c>
      <c r="H198" s="4">
        <v>43</v>
      </c>
      <c r="I198" s="8">
        <v>0</v>
      </c>
      <c r="J198" s="8">
        <v>0</v>
      </c>
      <c r="K198" s="24">
        <v>-2644.04</v>
      </c>
      <c r="L198" s="8">
        <v>-17.54</v>
      </c>
      <c r="M198" s="21" t="s">
        <v>199</v>
      </c>
      <c r="N198" s="21"/>
    </row>
    <row r="199" spans="1:14" ht="20.100000000000001" customHeight="1" x14ac:dyDescent="0.2">
      <c r="A199" s="23"/>
      <c r="B199" s="23"/>
      <c r="C199" s="23"/>
      <c r="D199" s="23"/>
      <c r="E199" s="23"/>
      <c r="F199" s="23"/>
      <c r="G199" s="23"/>
      <c r="H199" s="23"/>
      <c r="I199" s="10">
        <f>SUM(Sheet1!I156:I198)</f>
        <v>0</v>
      </c>
      <c r="J199" s="10">
        <f>SUM(Sheet1!J156:J198)</f>
        <v>0</v>
      </c>
      <c r="K199" s="10">
        <v>-1017.54</v>
      </c>
      <c r="L199" s="10">
        <v>-17.54</v>
      </c>
      <c r="M199" s="23"/>
      <c r="N199" s="23"/>
    </row>
  </sheetData>
  <mergeCells count="343">
    <mergeCell ref="M193:N193"/>
    <mergeCell ref="M194:N194"/>
    <mergeCell ref="M195:N195"/>
    <mergeCell ref="M196:N196"/>
    <mergeCell ref="M197:N197"/>
    <mergeCell ref="M198:N198"/>
    <mergeCell ref="A199:H199"/>
    <mergeCell ref="M199:N199"/>
    <mergeCell ref="M184:N184"/>
    <mergeCell ref="M185:N185"/>
    <mergeCell ref="M186:N186"/>
    <mergeCell ref="M187:N187"/>
    <mergeCell ref="M188:N188"/>
    <mergeCell ref="M189:N189"/>
    <mergeCell ref="M190:N190"/>
    <mergeCell ref="M191:N191"/>
    <mergeCell ref="M192:N192"/>
    <mergeCell ref="M175:N175"/>
    <mergeCell ref="M176:N176"/>
    <mergeCell ref="M177:N177"/>
    <mergeCell ref="M178:N178"/>
    <mergeCell ref="M179:N179"/>
    <mergeCell ref="M180:N180"/>
    <mergeCell ref="M181:N181"/>
    <mergeCell ref="M182:N182"/>
    <mergeCell ref="M183:N183"/>
    <mergeCell ref="M166:N166"/>
    <mergeCell ref="M167:N167"/>
    <mergeCell ref="M168:N168"/>
    <mergeCell ref="M169:N169"/>
    <mergeCell ref="M170:N170"/>
    <mergeCell ref="M171:N171"/>
    <mergeCell ref="M172:N172"/>
    <mergeCell ref="M173:N173"/>
    <mergeCell ref="M174:N174"/>
    <mergeCell ref="M157:N157"/>
    <mergeCell ref="M158:N158"/>
    <mergeCell ref="M159:N159"/>
    <mergeCell ref="M160:N160"/>
    <mergeCell ref="M161:N161"/>
    <mergeCell ref="M162:N162"/>
    <mergeCell ref="M163:N163"/>
    <mergeCell ref="M164:N164"/>
    <mergeCell ref="M165:N165"/>
    <mergeCell ref="E152:F152"/>
    <mergeCell ref="J152:K152"/>
    <mergeCell ref="M152:N152"/>
    <mergeCell ref="E153:F153"/>
    <mergeCell ref="J153:K153"/>
    <mergeCell ref="M153:N153"/>
    <mergeCell ref="A154:N154"/>
    <mergeCell ref="M155:N155"/>
    <mergeCell ref="M156:N156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34:F134"/>
    <mergeCell ref="J134:K134"/>
    <mergeCell ref="M134:N134"/>
    <mergeCell ref="E135:F135"/>
    <mergeCell ref="J135:K135"/>
    <mergeCell ref="M135:N135"/>
    <mergeCell ref="E136:F136"/>
    <mergeCell ref="J136:K136"/>
    <mergeCell ref="M136:N136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16:F116"/>
    <mergeCell ref="J116:K116"/>
    <mergeCell ref="M116:N116"/>
    <mergeCell ref="E117:F117"/>
    <mergeCell ref="J117:K117"/>
    <mergeCell ref="M117:N117"/>
    <mergeCell ref="E118:F118"/>
    <mergeCell ref="J118:K118"/>
    <mergeCell ref="M118:N118"/>
    <mergeCell ref="E113:F113"/>
    <mergeCell ref="J113:K113"/>
    <mergeCell ref="M113:N113"/>
    <mergeCell ref="E114:F114"/>
    <mergeCell ref="J114:K114"/>
    <mergeCell ref="M114:N114"/>
    <mergeCell ref="E115:F115"/>
    <mergeCell ref="J115:K115"/>
    <mergeCell ref="M115:N115"/>
    <mergeCell ref="E87:G87"/>
    <mergeCell ref="H87"/>
    <mergeCell ref="I87:K87"/>
    <mergeCell ref="L87:N87"/>
    <mergeCell ref="A110:N110"/>
    <mergeCell ref="E111:F111"/>
    <mergeCell ref="J111:K111"/>
    <mergeCell ref="M111:N111"/>
    <mergeCell ref="E112:F112"/>
    <mergeCell ref="J112:K112"/>
    <mergeCell ref="M112:N112"/>
    <mergeCell ref="E84:G84"/>
    <mergeCell ref="H84"/>
    <mergeCell ref="I84:K84"/>
    <mergeCell ref="L84:N84"/>
    <mergeCell ref="E85:G85"/>
    <mergeCell ref="H85"/>
    <mergeCell ref="I85:K85"/>
    <mergeCell ref="L85:N85"/>
    <mergeCell ref="E86:G86"/>
    <mergeCell ref="H86"/>
    <mergeCell ref="I86:K86"/>
    <mergeCell ref="L86:N86"/>
    <mergeCell ref="A82:C82"/>
    <mergeCell ref="D82"/>
    <mergeCell ref="E82:G82"/>
    <mergeCell ref="H82"/>
    <mergeCell ref="I82:K82"/>
    <mergeCell ref="L82:N82"/>
    <mergeCell ref="E83:G83"/>
    <mergeCell ref="H83"/>
    <mergeCell ref="I83:K83"/>
    <mergeCell ref="L83:N83"/>
    <mergeCell ref="L78:N78"/>
    <mergeCell ref="A79:C79"/>
    <mergeCell ref="D79"/>
    <mergeCell ref="E79:G79"/>
    <mergeCell ref="H79"/>
    <mergeCell ref="I79:K79"/>
    <mergeCell ref="L79:N79"/>
    <mergeCell ref="A81:C81"/>
    <mergeCell ref="D81"/>
    <mergeCell ref="E81:G81"/>
    <mergeCell ref="H81"/>
    <mergeCell ref="I81:K81"/>
    <mergeCell ref="L81:N81"/>
    <mergeCell ref="A76:C76"/>
    <mergeCell ref="D76"/>
    <mergeCell ref="E76:G76"/>
    <mergeCell ref="H76"/>
    <mergeCell ref="A78:C78"/>
    <mergeCell ref="D78"/>
    <mergeCell ref="E78:G78"/>
    <mergeCell ref="H78"/>
    <mergeCell ref="I78:K78"/>
    <mergeCell ref="A74:C74"/>
    <mergeCell ref="D74"/>
    <mergeCell ref="E74:G74"/>
    <mergeCell ref="H74"/>
    <mergeCell ref="I74:K74"/>
    <mergeCell ref="L74:N74"/>
    <mergeCell ref="A75:C75"/>
    <mergeCell ref="D75"/>
    <mergeCell ref="E75:G75"/>
    <mergeCell ref="H75"/>
    <mergeCell ref="I75:K75"/>
    <mergeCell ref="L75:N75"/>
    <mergeCell ref="A71:C71"/>
    <mergeCell ref="D71"/>
    <mergeCell ref="E71:G71"/>
    <mergeCell ref="H71"/>
    <mergeCell ref="I71:K71"/>
    <mergeCell ref="L71:N71"/>
    <mergeCell ref="A73:C73"/>
    <mergeCell ref="D73"/>
    <mergeCell ref="E73:G73"/>
    <mergeCell ref="H73"/>
    <mergeCell ref="I73:K73"/>
    <mergeCell ref="L73:N73"/>
    <mergeCell ref="A69:C69"/>
    <mergeCell ref="D69"/>
    <mergeCell ref="E69:G69"/>
    <mergeCell ref="H69"/>
    <mergeCell ref="I69:K69"/>
    <mergeCell ref="L69:N69"/>
    <mergeCell ref="A70:C70"/>
    <mergeCell ref="D70"/>
    <mergeCell ref="E70:G70"/>
    <mergeCell ref="H70"/>
    <mergeCell ref="I70:K70"/>
    <mergeCell ref="L70:N70"/>
    <mergeCell ref="A66:N66"/>
    <mergeCell ref="A67:C67"/>
    <mergeCell ref="D67"/>
    <mergeCell ref="A68:C68"/>
    <mergeCell ref="D68"/>
    <mergeCell ref="E68:G68"/>
    <mergeCell ref="H68"/>
    <mergeCell ref="I68:K68"/>
    <mergeCell ref="L68:N68"/>
    <mergeCell ref="D60:N60"/>
    <mergeCell ref="D61:N61"/>
    <mergeCell ref="A62:C62"/>
    <mergeCell ref="D62:N62"/>
    <mergeCell ref="A63:C63"/>
    <mergeCell ref="D63:N63"/>
    <mergeCell ref="A64:C64"/>
    <mergeCell ref="D64:N64"/>
    <mergeCell ref="A65:C65"/>
    <mergeCell ref="D65:N65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42:N42"/>
    <mergeCell ref="D43:N43"/>
    <mergeCell ref="D44:N44"/>
    <mergeCell ref="D45:N45"/>
    <mergeCell ref="D46:N46"/>
    <mergeCell ref="D47:N47"/>
    <mergeCell ref="D48:N48"/>
    <mergeCell ref="D49:N49"/>
    <mergeCell ref="D50:N50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24:N24"/>
    <mergeCell ref="D25:N25"/>
    <mergeCell ref="D26:N26"/>
    <mergeCell ref="D27:N27"/>
    <mergeCell ref="D28:N28"/>
    <mergeCell ref="D29:N29"/>
    <mergeCell ref="D30:N30"/>
    <mergeCell ref="D31:N31"/>
    <mergeCell ref="D32:N32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A1:N1"/>
    <mergeCell ref="A2:N2"/>
    <mergeCell ref="A3:N3"/>
    <mergeCell ref="A4:C4"/>
    <mergeCell ref="D4:N4"/>
    <mergeCell ref="A5:C5"/>
    <mergeCell ref="D5:N5"/>
    <mergeCell ref="A6:C6"/>
    <mergeCell ref="D6:N6"/>
  </mergeCells>
  <phoneticPr fontId="5" type="noConversion"/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227781254:New_Trader</dc:subject>
  <dc:creator>Exness Technologies Ltd</dc:creator>
  <dc:description>거래 보고서에는 포지션과 노출금액이 표시됩니다</dc:description>
  <cp:lastModifiedBy>종명 김</cp:lastModifiedBy>
  <dcterms:created xsi:type="dcterms:W3CDTF">2025-10-10T19:15:00Z</dcterms:created>
  <dcterms:modified xsi:type="dcterms:W3CDTF">2025-10-10T10:15:47Z</dcterms:modified>
  <cp:category>Reports</cp:category>
</cp:coreProperties>
</file>